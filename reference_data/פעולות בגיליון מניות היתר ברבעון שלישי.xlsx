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AOR\"/>
    </mc:Choice>
  </mc:AlternateContent>
  <xr:revisionPtr revIDLastSave="0" documentId="13_ncr:1_{3E4EE93F-0479-4A39-8C62-29F77CF65343}" xr6:coauthVersionLast="47" xr6:coauthVersionMax="47" xr10:uidLastSave="{00000000-0000-0000-0000-000000000000}"/>
  <bookViews>
    <workbookView xWindow="-120" yWindow="-120" windowWidth="29040" windowHeight="15840" activeTab="2" xr2:uid="{39219367-CEFC-4FC1-86A6-91E566DEF0BE}"/>
  </bookViews>
  <sheets>
    <sheet name="29.11.25" sheetId="1" r:id="rId1"/>
    <sheet name="29.11.25 (2)" sheetId="2" r:id="rId2"/>
    <sheet name="גיליון1" sheetId="3" r:id="rId3"/>
  </sheets>
  <definedNames>
    <definedName name="_xlnm._FilterDatabase" localSheetId="1" hidden="1">'29.11.25 (2)'!$A$1:$AV$203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3" l="1"/>
  <c r="A14" i="3" s="1"/>
  <c r="A15" i="3" s="1"/>
  <c r="A16" i="3" s="1"/>
  <c r="A12" i="3"/>
  <c r="AN199" i="2"/>
  <c r="AL199" i="2"/>
  <c r="AM199" i="2" s="1"/>
  <c r="AJ199" i="2"/>
  <c r="AK199" i="2" s="1"/>
  <c r="AI199" i="2"/>
  <c r="AJ195" i="2"/>
  <c r="AI195" i="2"/>
  <c r="AJ189" i="2"/>
  <c r="AI189" i="2"/>
  <c r="AK189" i="2" s="1"/>
  <c r="AP174" i="2"/>
  <c r="AO174" i="2"/>
  <c r="AN174" i="2"/>
  <c r="AL174" i="2"/>
  <c r="AM174" i="2" s="1"/>
  <c r="AJ174" i="2"/>
  <c r="AI174" i="2"/>
  <c r="AK174" i="2" s="1"/>
  <c r="AK169" i="2"/>
  <c r="AJ169" i="2"/>
  <c r="AI169" i="2"/>
  <c r="AJ166" i="2"/>
  <c r="AK166" i="2" s="1"/>
  <c r="AI166" i="2"/>
  <c r="AJ132" i="2"/>
  <c r="AI132" i="2"/>
  <c r="AN131" i="2"/>
  <c r="AM131" i="2"/>
  <c r="AL131" i="2"/>
  <c r="AJ131" i="2"/>
  <c r="AI131" i="2"/>
  <c r="AN130" i="2"/>
  <c r="AM130" i="2"/>
  <c r="AL130" i="2"/>
  <c r="AJ130" i="2"/>
  <c r="AK130" i="2" s="1"/>
  <c r="AI130" i="2"/>
  <c r="AN129" i="2"/>
  <c r="AM129" i="2"/>
  <c r="AL129" i="2"/>
  <c r="AJ129" i="2"/>
  <c r="AK129" i="2" s="1"/>
  <c r="AI129" i="2"/>
  <c r="AN128" i="2"/>
  <c r="AM128" i="2"/>
  <c r="AL128" i="2"/>
  <c r="AJ128" i="2"/>
  <c r="AI128" i="2"/>
  <c r="AN127" i="2"/>
  <c r="AM127" i="2"/>
  <c r="AL127" i="2"/>
  <c r="AJ127" i="2"/>
  <c r="AI127" i="2"/>
  <c r="AN126" i="2"/>
  <c r="AM126" i="2"/>
  <c r="AL126" i="2"/>
  <c r="AJ126" i="2"/>
  <c r="AK126" i="2" s="1"/>
  <c r="AI126" i="2"/>
  <c r="AN125" i="2"/>
  <c r="AM125" i="2"/>
  <c r="AL125" i="2"/>
  <c r="AJ125" i="2"/>
  <c r="AK125" i="2" s="1"/>
  <c r="AI125" i="2"/>
  <c r="AN124" i="2"/>
  <c r="AM124" i="2"/>
  <c r="AL124" i="2"/>
  <c r="AJ124" i="2"/>
  <c r="AI124" i="2"/>
  <c r="AN123" i="2"/>
  <c r="AM123" i="2"/>
  <c r="AL123" i="2"/>
  <c r="AJ123" i="2"/>
  <c r="AI123" i="2"/>
  <c r="AN122" i="2"/>
  <c r="AM122" i="2"/>
  <c r="AL122" i="2"/>
  <c r="AJ122" i="2"/>
  <c r="AK122" i="2" s="1"/>
  <c r="AI122" i="2"/>
  <c r="AN121" i="2"/>
  <c r="AM121" i="2"/>
  <c r="AL121" i="2"/>
  <c r="AJ121" i="2"/>
  <c r="AI121" i="2"/>
  <c r="AN120" i="2"/>
  <c r="AM120" i="2"/>
  <c r="AL120" i="2"/>
  <c r="AJ120" i="2"/>
  <c r="AI120" i="2"/>
  <c r="AN119" i="2"/>
  <c r="AM119" i="2"/>
  <c r="AL119" i="2"/>
  <c r="AJ119" i="2"/>
  <c r="AI119" i="2"/>
  <c r="AN118" i="2"/>
  <c r="AM118" i="2"/>
  <c r="AL118" i="2"/>
  <c r="AJ118" i="2"/>
  <c r="AK118" i="2" s="1"/>
  <c r="AI118" i="2"/>
  <c r="AN117" i="2"/>
  <c r="AM117" i="2"/>
  <c r="AL117" i="2"/>
  <c r="AJ117" i="2"/>
  <c r="AI117" i="2"/>
  <c r="AN116" i="2"/>
  <c r="AM116" i="2"/>
  <c r="AL116" i="2"/>
  <c r="AJ116" i="2"/>
  <c r="AI116" i="2"/>
  <c r="AN115" i="2"/>
  <c r="AM115" i="2"/>
  <c r="AL115" i="2"/>
  <c r="AJ115" i="2"/>
  <c r="AI115" i="2"/>
  <c r="AN114" i="2"/>
  <c r="AM114" i="2"/>
  <c r="AL114" i="2"/>
  <c r="AJ114" i="2"/>
  <c r="AK114" i="2" s="1"/>
  <c r="AI114" i="2"/>
  <c r="AN113" i="2"/>
  <c r="AM113" i="2"/>
  <c r="AL113" i="2"/>
  <c r="AJ113" i="2"/>
  <c r="AI113" i="2"/>
  <c r="AN112" i="2"/>
  <c r="AM112" i="2"/>
  <c r="AL112" i="2"/>
  <c r="AJ112" i="2"/>
  <c r="AI112" i="2"/>
  <c r="AN111" i="2"/>
  <c r="AM111" i="2"/>
  <c r="AL111" i="2"/>
  <c r="AJ111" i="2"/>
  <c r="AI111" i="2"/>
  <c r="AN110" i="2"/>
  <c r="AM110" i="2"/>
  <c r="AL110" i="2"/>
  <c r="AJ110" i="2"/>
  <c r="AK110" i="2" s="1"/>
  <c r="AI110" i="2"/>
  <c r="AN109" i="2"/>
  <c r="AM109" i="2"/>
  <c r="AL109" i="2"/>
  <c r="AJ109" i="2"/>
  <c r="AI109" i="2"/>
  <c r="AN108" i="2"/>
  <c r="AM108" i="2"/>
  <c r="AL108" i="2"/>
  <c r="AJ108" i="2"/>
  <c r="AI108" i="2"/>
  <c r="AN107" i="2"/>
  <c r="AM107" i="2"/>
  <c r="AL107" i="2"/>
  <c r="AJ107" i="2"/>
  <c r="AI107" i="2"/>
  <c r="AN106" i="2"/>
  <c r="AM106" i="2"/>
  <c r="AL106" i="2"/>
  <c r="AJ106" i="2"/>
  <c r="AK106" i="2" s="1"/>
  <c r="AI106" i="2"/>
  <c r="AN105" i="2"/>
  <c r="AM105" i="2"/>
  <c r="AL105" i="2"/>
  <c r="AJ105" i="2"/>
  <c r="AI105" i="2"/>
  <c r="AN104" i="2"/>
  <c r="AM104" i="2"/>
  <c r="AL104" i="2"/>
  <c r="AJ104" i="2"/>
  <c r="AI104" i="2"/>
  <c r="AN103" i="2"/>
  <c r="AM103" i="2"/>
  <c r="AL103" i="2"/>
  <c r="AJ103" i="2"/>
  <c r="AI103" i="2"/>
  <c r="AN102" i="2"/>
  <c r="AM102" i="2"/>
  <c r="AL102" i="2"/>
  <c r="AJ102" i="2"/>
  <c r="AK102" i="2" s="1"/>
  <c r="AI102" i="2"/>
  <c r="AN101" i="2"/>
  <c r="AM101" i="2"/>
  <c r="AL101" i="2"/>
  <c r="AJ101" i="2"/>
  <c r="AI101" i="2"/>
  <c r="AN100" i="2"/>
  <c r="AM100" i="2"/>
  <c r="AL100" i="2"/>
  <c r="AJ100" i="2"/>
  <c r="AI100" i="2"/>
  <c r="AN99" i="2"/>
  <c r="AM99" i="2"/>
  <c r="AL99" i="2"/>
  <c r="AJ99" i="2"/>
  <c r="AI99" i="2"/>
  <c r="AN98" i="2"/>
  <c r="AM98" i="2"/>
  <c r="AL98" i="2"/>
  <c r="AJ98" i="2"/>
  <c r="AK98" i="2" s="1"/>
  <c r="AI98" i="2"/>
  <c r="AN97" i="2"/>
  <c r="AL97" i="2"/>
  <c r="AM97" i="2" s="1"/>
  <c r="AJ97" i="2"/>
  <c r="AI97" i="2"/>
  <c r="AN96" i="2"/>
  <c r="AL96" i="2"/>
  <c r="AM96" i="2" s="1"/>
  <c r="AJ96" i="2"/>
  <c r="AI96" i="2"/>
  <c r="AN95" i="2"/>
  <c r="AO95" i="2" s="1"/>
  <c r="AL95" i="2"/>
  <c r="AM95" i="2" s="1"/>
  <c r="AJ95" i="2"/>
  <c r="AI95" i="2"/>
  <c r="AN94" i="2"/>
  <c r="AO94" i="2" s="1"/>
  <c r="AL94" i="2"/>
  <c r="AM94" i="2" s="1"/>
  <c r="AJ94" i="2"/>
  <c r="AK94" i="2" s="1"/>
  <c r="AI94" i="2"/>
  <c r="AN93" i="2"/>
  <c r="AO93" i="2" s="1"/>
  <c r="AL93" i="2"/>
  <c r="AM93" i="2" s="1"/>
  <c r="AJ93" i="2"/>
  <c r="AI93" i="2"/>
  <c r="AN92" i="2"/>
  <c r="AL92" i="2"/>
  <c r="AM92" i="2" s="1"/>
  <c r="AJ92" i="2"/>
  <c r="AI92" i="2"/>
  <c r="AN91" i="2"/>
  <c r="AO91" i="2" s="1"/>
  <c r="AM91" i="2"/>
  <c r="AL91" i="2"/>
  <c r="AJ91" i="2"/>
  <c r="AI91" i="2"/>
  <c r="AP90" i="2"/>
  <c r="AN90" i="2"/>
  <c r="AO90" i="2" s="1"/>
  <c r="AL90" i="2"/>
  <c r="AM90" i="2" s="1"/>
  <c r="AJ90" i="2"/>
  <c r="AK90" i="2" s="1"/>
  <c r="AI90" i="2"/>
  <c r="AN89" i="2"/>
  <c r="AO89" i="2" s="1"/>
  <c r="AM89" i="2"/>
  <c r="AL89" i="2"/>
  <c r="AJ89" i="2"/>
  <c r="AI89" i="2"/>
  <c r="AP89" i="2" s="1"/>
  <c r="AN88" i="2"/>
  <c r="AO88" i="2" s="1"/>
  <c r="AL88" i="2"/>
  <c r="AM88" i="2" s="1"/>
  <c r="AJ88" i="2"/>
  <c r="AK88" i="2" s="1"/>
  <c r="AI88" i="2"/>
  <c r="AP88" i="2" s="1"/>
  <c r="AN87" i="2"/>
  <c r="AO87" i="2" s="1"/>
  <c r="AM87" i="2"/>
  <c r="AL87" i="2"/>
  <c r="AJ87" i="2"/>
  <c r="AI87" i="2"/>
  <c r="AP87" i="2" s="1"/>
  <c r="AN86" i="2"/>
  <c r="AO86" i="2" s="1"/>
  <c r="AL86" i="2"/>
  <c r="AM86" i="2" s="1"/>
  <c r="AJ86" i="2"/>
  <c r="AI86" i="2"/>
  <c r="AP86" i="2" s="1"/>
  <c r="AN85" i="2"/>
  <c r="AO85" i="2" s="1"/>
  <c r="AL85" i="2"/>
  <c r="AM85" i="2" s="1"/>
  <c r="AJ85" i="2"/>
  <c r="AI85" i="2"/>
  <c r="AP85" i="2" s="1"/>
  <c r="AN84" i="2"/>
  <c r="AO84" i="2" s="1"/>
  <c r="AL84" i="2"/>
  <c r="AM84" i="2" s="1"/>
  <c r="AJ84" i="2"/>
  <c r="AI84" i="2"/>
  <c r="AP84" i="2" s="1"/>
  <c r="AN83" i="2"/>
  <c r="AO83" i="2" s="1"/>
  <c r="AL83" i="2"/>
  <c r="AM83" i="2" s="1"/>
  <c r="AJ83" i="2"/>
  <c r="AI83" i="2"/>
  <c r="AP83" i="2" s="1"/>
  <c r="AN82" i="2"/>
  <c r="AO82" i="2" s="1"/>
  <c r="AL82" i="2"/>
  <c r="AM82" i="2" s="1"/>
  <c r="AJ82" i="2"/>
  <c r="AI82" i="2"/>
  <c r="AP82" i="2" s="1"/>
  <c r="AN81" i="2"/>
  <c r="AO81" i="2" s="1"/>
  <c r="AL81" i="2"/>
  <c r="AM81" i="2" s="1"/>
  <c r="AJ81" i="2"/>
  <c r="AI81" i="2"/>
  <c r="AP81" i="2" s="1"/>
  <c r="AN80" i="2"/>
  <c r="AO80" i="2" s="1"/>
  <c r="AL80" i="2"/>
  <c r="AM80" i="2" s="1"/>
  <c r="AJ80" i="2"/>
  <c r="AI80" i="2"/>
  <c r="AP80" i="2" s="1"/>
  <c r="AN79" i="2"/>
  <c r="AO79" i="2" s="1"/>
  <c r="AL79" i="2"/>
  <c r="AM79" i="2" s="1"/>
  <c r="AJ79" i="2"/>
  <c r="AI79" i="2"/>
  <c r="AP79" i="2" s="1"/>
  <c r="AN78" i="2"/>
  <c r="AO78" i="2" s="1"/>
  <c r="AL78" i="2"/>
  <c r="AM78" i="2" s="1"/>
  <c r="AJ78" i="2"/>
  <c r="AI78" i="2"/>
  <c r="AP78" i="2" s="1"/>
  <c r="AN77" i="2"/>
  <c r="AO77" i="2" s="1"/>
  <c r="AL77" i="2"/>
  <c r="AM77" i="2" s="1"/>
  <c r="AJ77" i="2"/>
  <c r="AI77" i="2"/>
  <c r="AP77" i="2" s="1"/>
  <c r="AN76" i="2"/>
  <c r="AO76" i="2" s="1"/>
  <c r="AL76" i="2"/>
  <c r="AM76" i="2" s="1"/>
  <c r="AJ76" i="2"/>
  <c r="AI76" i="2"/>
  <c r="AP76" i="2" s="1"/>
  <c r="AN75" i="2"/>
  <c r="AO75" i="2" s="1"/>
  <c r="AL75" i="2"/>
  <c r="AM75" i="2" s="1"/>
  <c r="AJ75" i="2"/>
  <c r="AI75" i="2"/>
  <c r="AP75" i="2" s="1"/>
  <c r="AN74" i="2"/>
  <c r="AO74" i="2" s="1"/>
  <c r="AL74" i="2"/>
  <c r="AM74" i="2" s="1"/>
  <c r="AJ74" i="2"/>
  <c r="AI74" i="2"/>
  <c r="AP74" i="2" s="1"/>
  <c r="AN73" i="2"/>
  <c r="AO73" i="2" s="1"/>
  <c r="AL73" i="2"/>
  <c r="AM73" i="2" s="1"/>
  <c r="AJ73" i="2"/>
  <c r="AI73" i="2"/>
  <c r="AP73" i="2" s="1"/>
  <c r="AN72" i="2"/>
  <c r="AO72" i="2" s="1"/>
  <c r="AL72" i="2"/>
  <c r="AM72" i="2" s="1"/>
  <c r="AJ72" i="2"/>
  <c r="AI72" i="2"/>
  <c r="AP72" i="2" s="1"/>
  <c r="AN71" i="2"/>
  <c r="AO71" i="2" s="1"/>
  <c r="AL71" i="2"/>
  <c r="AM71" i="2" s="1"/>
  <c r="AJ71" i="2"/>
  <c r="AI71" i="2"/>
  <c r="AP71" i="2" s="1"/>
  <c r="AN70" i="2"/>
  <c r="AO70" i="2" s="1"/>
  <c r="AL70" i="2"/>
  <c r="AM70" i="2" s="1"/>
  <c r="AJ70" i="2"/>
  <c r="AI70" i="2"/>
  <c r="AP70" i="2" s="1"/>
  <c r="AN69" i="2"/>
  <c r="AO69" i="2" s="1"/>
  <c r="AL69" i="2"/>
  <c r="AM69" i="2" s="1"/>
  <c r="AJ69" i="2"/>
  <c r="AI69" i="2"/>
  <c r="AP69" i="2" s="1"/>
  <c r="AN68" i="2"/>
  <c r="AO68" i="2" s="1"/>
  <c r="AL68" i="2"/>
  <c r="AM68" i="2" s="1"/>
  <c r="AJ68" i="2"/>
  <c r="AI68" i="2"/>
  <c r="AP68" i="2" s="1"/>
  <c r="AN67" i="2"/>
  <c r="AL67" i="2"/>
  <c r="AM67" i="2" s="1"/>
  <c r="AJ67" i="2"/>
  <c r="AI67" i="2"/>
  <c r="AN66" i="2"/>
  <c r="AO66" i="2" s="1"/>
  <c r="AL66" i="2"/>
  <c r="AM66" i="2" s="1"/>
  <c r="AJ66" i="2"/>
  <c r="AI66" i="2"/>
  <c r="AN65" i="2"/>
  <c r="AL65" i="2"/>
  <c r="AM65" i="2" s="1"/>
  <c r="AJ65" i="2"/>
  <c r="AI65" i="2"/>
  <c r="AN64" i="2"/>
  <c r="AO64" i="2" s="1"/>
  <c r="AL64" i="2"/>
  <c r="AM64" i="2" s="1"/>
  <c r="AJ64" i="2"/>
  <c r="AI64" i="2"/>
  <c r="AN63" i="2"/>
  <c r="AL63" i="2"/>
  <c r="AM63" i="2" s="1"/>
  <c r="AJ63" i="2"/>
  <c r="AI63" i="2"/>
  <c r="AN62" i="2"/>
  <c r="AO62" i="2" s="1"/>
  <c r="AL62" i="2"/>
  <c r="AM62" i="2" s="1"/>
  <c r="AJ62" i="2"/>
  <c r="AI62" i="2"/>
  <c r="AN61" i="2"/>
  <c r="AL61" i="2"/>
  <c r="AM61" i="2" s="1"/>
  <c r="AJ61" i="2"/>
  <c r="AI61" i="2"/>
  <c r="AN60" i="2"/>
  <c r="AO60" i="2" s="1"/>
  <c r="AL60" i="2"/>
  <c r="AM60" i="2" s="1"/>
  <c r="AJ60" i="2"/>
  <c r="AI60" i="2"/>
  <c r="AN59" i="2"/>
  <c r="AL59" i="2"/>
  <c r="AM59" i="2" s="1"/>
  <c r="AJ59" i="2"/>
  <c r="AK59" i="2" s="1"/>
  <c r="AI59" i="2"/>
  <c r="AN58" i="2"/>
  <c r="AL58" i="2"/>
  <c r="AM58" i="2" s="1"/>
  <c r="AJ58" i="2"/>
  <c r="AK58" i="2" s="1"/>
  <c r="AI58" i="2"/>
  <c r="AN57" i="2"/>
  <c r="AL57" i="2"/>
  <c r="AM57" i="2" s="1"/>
  <c r="AJ57" i="2"/>
  <c r="AK57" i="2" s="1"/>
  <c r="AI57" i="2"/>
  <c r="AN56" i="2"/>
  <c r="AL56" i="2"/>
  <c r="AM56" i="2" s="1"/>
  <c r="AJ56" i="2"/>
  <c r="AK56" i="2" s="1"/>
  <c r="AI56" i="2"/>
  <c r="AN55" i="2"/>
  <c r="AL55" i="2"/>
  <c r="AM55" i="2" s="1"/>
  <c r="AJ55" i="2"/>
  <c r="AK55" i="2" s="1"/>
  <c r="AI55" i="2"/>
  <c r="AN54" i="2"/>
  <c r="AL54" i="2"/>
  <c r="AM54" i="2" s="1"/>
  <c r="AJ54" i="2"/>
  <c r="AK54" i="2" s="1"/>
  <c r="AI54" i="2"/>
  <c r="AN53" i="2"/>
  <c r="AM53" i="2"/>
  <c r="AL53" i="2"/>
  <c r="AJ53" i="2"/>
  <c r="AK53" i="2" s="1"/>
  <c r="AI53" i="2"/>
  <c r="AN52" i="2"/>
  <c r="AM52" i="2"/>
  <c r="AL52" i="2"/>
  <c r="AJ52" i="2"/>
  <c r="AK52" i="2" s="1"/>
  <c r="AI52" i="2"/>
  <c r="AN51" i="2"/>
  <c r="AM51" i="2"/>
  <c r="AL51" i="2"/>
  <c r="AJ51" i="2"/>
  <c r="AK51" i="2" s="1"/>
  <c r="AI51" i="2"/>
  <c r="AN50" i="2"/>
  <c r="AM50" i="2"/>
  <c r="AL50" i="2"/>
  <c r="AJ50" i="2"/>
  <c r="AK50" i="2" s="1"/>
  <c r="AI50" i="2"/>
  <c r="AN49" i="2"/>
  <c r="AL49" i="2"/>
  <c r="AM49" i="2" s="1"/>
  <c r="AJ49" i="2"/>
  <c r="AK49" i="2" s="1"/>
  <c r="AI49" i="2"/>
  <c r="AN48" i="2"/>
  <c r="AL48" i="2"/>
  <c r="AM48" i="2" s="1"/>
  <c r="AJ48" i="2"/>
  <c r="AK48" i="2" s="1"/>
  <c r="AI48" i="2"/>
  <c r="AN47" i="2"/>
  <c r="AL47" i="2"/>
  <c r="AM47" i="2" s="1"/>
  <c r="AJ47" i="2"/>
  <c r="AK47" i="2" s="1"/>
  <c r="AI47" i="2"/>
  <c r="AN46" i="2"/>
  <c r="AL46" i="2"/>
  <c r="AM46" i="2" s="1"/>
  <c r="AJ46" i="2"/>
  <c r="AK46" i="2" s="1"/>
  <c r="AI46" i="2"/>
  <c r="AN45" i="2"/>
  <c r="AL45" i="2"/>
  <c r="AM45" i="2" s="1"/>
  <c r="AJ45" i="2"/>
  <c r="AK45" i="2" s="1"/>
  <c r="AI45" i="2"/>
  <c r="AN44" i="2"/>
  <c r="AL44" i="2"/>
  <c r="AM44" i="2" s="1"/>
  <c r="AJ44" i="2"/>
  <c r="AK44" i="2" s="1"/>
  <c r="AI44" i="2"/>
  <c r="AN43" i="2"/>
  <c r="AL43" i="2"/>
  <c r="AM43" i="2" s="1"/>
  <c r="AJ43" i="2"/>
  <c r="AK43" i="2" s="1"/>
  <c r="AI43" i="2"/>
  <c r="AN42" i="2"/>
  <c r="AL42" i="2"/>
  <c r="AM42" i="2" s="1"/>
  <c r="AJ42" i="2"/>
  <c r="AK42" i="2" s="1"/>
  <c r="AI42" i="2"/>
  <c r="AN41" i="2"/>
  <c r="AL41" i="2"/>
  <c r="AM41" i="2" s="1"/>
  <c r="AJ41" i="2"/>
  <c r="AK41" i="2" s="1"/>
  <c r="AI41" i="2"/>
  <c r="AN40" i="2"/>
  <c r="AM40" i="2"/>
  <c r="AL40" i="2"/>
  <c r="AJ40" i="2"/>
  <c r="AK40" i="2" s="1"/>
  <c r="AI40" i="2"/>
  <c r="AN39" i="2"/>
  <c r="AM39" i="2"/>
  <c r="AL39" i="2"/>
  <c r="AJ39" i="2"/>
  <c r="AK39" i="2" s="1"/>
  <c r="AI39" i="2"/>
  <c r="AN38" i="2"/>
  <c r="AM38" i="2"/>
  <c r="AL38" i="2"/>
  <c r="AJ38" i="2"/>
  <c r="AK38" i="2" s="1"/>
  <c r="AI38" i="2"/>
  <c r="AN37" i="2"/>
  <c r="AM37" i="2"/>
  <c r="AL37" i="2"/>
  <c r="AJ37" i="2"/>
  <c r="AK37" i="2" s="1"/>
  <c r="AI37" i="2"/>
  <c r="AN36" i="2"/>
  <c r="AM36" i="2"/>
  <c r="AL36" i="2"/>
  <c r="AJ36" i="2"/>
  <c r="AK36" i="2" s="1"/>
  <c r="AI36" i="2"/>
  <c r="AN35" i="2"/>
  <c r="AM35" i="2"/>
  <c r="AL35" i="2"/>
  <c r="AJ35" i="2"/>
  <c r="AK35" i="2" s="1"/>
  <c r="AI35" i="2"/>
  <c r="F35" i="2"/>
  <c r="AP34" i="2"/>
  <c r="AO34" i="2"/>
  <c r="AN34" i="2"/>
  <c r="AL34" i="2"/>
  <c r="AM34" i="2" s="1"/>
  <c r="AK34" i="2"/>
  <c r="AJ34" i="2"/>
  <c r="AI34" i="2"/>
  <c r="F34" i="2"/>
  <c r="AP33" i="2"/>
  <c r="AN33" i="2"/>
  <c r="AO33" i="2" s="1"/>
  <c r="AL33" i="2"/>
  <c r="AM33" i="2" s="1"/>
  <c r="AJ33" i="2"/>
  <c r="AK33" i="2" s="1"/>
  <c r="AI33" i="2"/>
  <c r="F33" i="2"/>
  <c r="AN32" i="2"/>
  <c r="AM32" i="2"/>
  <c r="AL32" i="2"/>
  <c r="AJ32" i="2"/>
  <c r="AI32" i="2"/>
  <c r="F32" i="2"/>
  <c r="AN31" i="2"/>
  <c r="AL31" i="2"/>
  <c r="AM31" i="2" s="1"/>
  <c r="AJ31" i="2"/>
  <c r="AK31" i="2" s="1"/>
  <c r="AI31" i="2"/>
  <c r="F31" i="2"/>
  <c r="AP30" i="2"/>
  <c r="AO30" i="2"/>
  <c r="AN30" i="2"/>
  <c r="AL30" i="2"/>
  <c r="AM30" i="2" s="1"/>
  <c r="AK30" i="2"/>
  <c r="AJ30" i="2"/>
  <c r="AI30" i="2"/>
  <c r="F30" i="2"/>
  <c r="AP29" i="2"/>
  <c r="AN29" i="2"/>
  <c r="AO29" i="2" s="1"/>
  <c r="AL29" i="2"/>
  <c r="AM29" i="2" s="1"/>
  <c r="AJ29" i="2"/>
  <c r="AK29" i="2" s="1"/>
  <c r="AI29" i="2"/>
  <c r="F29" i="2"/>
  <c r="AN28" i="2"/>
  <c r="AM28" i="2"/>
  <c r="AL28" i="2"/>
  <c r="AJ28" i="2"/>
  <c r="AI28" i="2"/>
  <c r="F28" i="2"/>
  <c r="AN27" i="2"/>
  <c r="AL27" i="2"/>
  <c r="AM27" i="2" s="1"/>
  <c r="AJ27" i="2"/>
  <c r="AK27" i="2" s="1"/>
  <c r="AI27" i="2"/>
  <c r="F27" i="2"/>
  <c r="AP26" i="2"/>
  <c r="AO26" i="2"/>
  <c r="AN26" i="2"/>
  <c r="AL26" i="2"/>
  <c r="AM26" i="2" s="1"/>
  <c r="AK26" i="2"/>
  <c r="AJ26" i="2"/>
  <c r="AI26" i="2"/>
  <c r="F26" i="2"/>
  <c r="AP25" i="2"/>
  <c r="AN25" i="2"/>
  <c r="AO25" i="2" s="1"/>
  <c r="AL25" i="2"/>
  <c r="AM25" i="2" s="1"/>
  <c r="AJ25" i="2"/>
  <c r="AK25" i="2" s="1"/>
  <c r="AI25" i="2"/>
  <c r="F25" i="2"/>
  <c r="AN24" i="2"/>
  <c r="AM24" i="2"/>
  <c r="AL24" i="2"/>
  <c r="AJ24" i="2"/>
  <c r="AK24" i="2" s="1"/>
  <c r="AI24" i="2"/>
  <c r="F24" i="2"/>
  <c r="AN23" i="2"/>
  <c r="AL23" i="2"/>
  <c r="AM23" i="2" s="1"/>
  <c r="AJ23" i="2"/>
  <c r="AK23" i="2" s="1"/>
  <c r="AI23" i="2"/>
  <c r="F23" i="2"/>
  <c r="AP22" i="2"/>
  <c r="AO22" i="2"/>
  <c r="AN22" i="2"/>
  <c r="AL22" i="2"/>
  <c r="AM22" i="2" s="1"/>
  <c r="AK22" i="2"/>
  <c r="AJ22" i="2"/>
  <c r="AI22" i="2"/>
  <c r="F22" i="2"/>
  <c r="AP21" i="2"/>
  <c r="AN21" i="2"/>
  <c r="AO21" i="2" s="1"/>
  <c r="AL21" i="2"/>
  <c r="AM21" i="2" s="1"/>
  <c r="AJ21" i="2"/>
  <c r="AK21" i="2" s="1"/>
  <c r="AI21" i="2"/>
  <c r="F21" i="2"/>
  <c r="AN20" i="2"/>
  <c r="AM20" i="2"/>
  <c r="AL20" i="2"/>
  <c r="AJ20" i="2"/>
  <c r="AI20" i="2"/>
  <c r="F20" i="2"/>
  <c r="AN19" i="2"/>
  <c r="AL19" i="2"/>
  <c r="AM19" i="2" s="1"/>
  <c r="AJ19" i="2"/>
  <c r="AK19" i="2" s="1"/>
  <c r="AI19" i="2"/>
  <c r="F19" i="2"/>
  <c r="AP18" i="2"/>
  <c r="AO18" i="2"/>
  <c r="AN18" i="2"/>
  <c r="AL18" i="2"/>
  <c r="AM18" i="2" s="1"/>
  <c r="AK18" i="2"/>
  <c r="AJ18" i="2"/>
  <c r="AI18" i="2"/>
  <c r="F18" i="2"/>
  <c r="AP17" i="2"/>
  <c r="AN17" i="2"/>
  <c r="AO17" i="2" s="1"/>
  <c r="AL17" i="2"/>
  <c r="AM17" i="2" s="1"/>
  <c r="AJ17" i="2"/>
  <c r="AK17" i="2" s="1"/>
  <c r="AI17" i="2"/>
  <c r="F17" i="2"/>
  <c r="AN16" i="2"/>
  <c r="AM16" i="2"/>
  <c r="AL16" i="2"/>
  <c r="AJ16" i="2"/>
  <c r="AI16" i="2"/>
  <c r="F16" i="2"/>
  <c r="AN15" i="2"/>
  <c r="AL15" i="2"/>
  <c r="AM15" i="2" s="1"/>
  <c r="AJ15" i="2"/>
  <c r="AK15" i="2" s="1"/>
  <c r="AI15" i="2"/>
  <c r="F15" i="2"/>
  <c r="AP14" i="2"/>
  <c r="AO14" i="2"/>
  <c r="AN14" i="2"/>
  <c r="AL14" i="2"/>
  <c r="AM14" i="2" s="1"/>
  <c r="AK14" i="2"/>
  <c r="AJ14" i="2"/>
  <c r="AI14" i="2"/>
  <c r="F14" i="2"/>
  <c r="AP13" i="2"/>
  <c r="AN13" i="2"/>
  <c r="AO13" i="2" s="1"/>
  <c r="AL13" i="2"/>
  <c r="AM13" i="2" s="1"/>
  <c r="AJ13" i="2"/>
  <c r="AK13" i="2" s="1"/>
  <c r="AI13" i="2"/>
  <c r="F13" i="2"/>
  <c r="AN12" i="2"/>
  <c r="AM12" i="2"/>
  <c r="AL12" i="2"/>
  <c r="AJ12" i="2"/>
  <c r="AI12" i="2"/>
  <c r="F12" i="2"/>
  <c r="AN11" i="2"/>
  <c r="AL11" i="2"/>
  <c r="AM11" i="2" s="1"/>
  <c r="AJ11" i="2"/>
  <c r="AK11" i="2" s="1"/>
  <c r="AI11" i="2"/>
  <c r="F11" i="2"/>
  <c r="AP10" i="2"/>
  <c r="AO10" i="2"/>
  <c r="AN10" i="2"/>
  <c r="AL10" i="2"/>
  <c r="AM10" i="2" s="1"/>
  <c r="AK10" i="2"/>
  <c r="AJ10" i="2"/>
  <c r="AI10" i="2"/>
  <c r="F10" i="2"/>
  <c r="AP9" i="2"/>
  <c r="AN9" i="2"/>
  <c r="AO9" i="2" s="1"/>
  <c r="AL9" i="2"/>
  <c r="AM9" i="2" s="1"/>
  <c r="AJ9" i="2"/>
  <c r="AK9" i="2" s="1"/>
  <c r="AI9" i="2"/>
  <c r="F9" i="2"/>
  <c r="AN8" i="2"/>
  <c r="AM8" i="2"/>
  <c r="AL8" i="2"/>
  <c r="AJ8" i="2"/>
  <c r="AK8" i="2" s="1"/>
  <c r="AI8" i="2"/>
  <c r="F8" i="2"/>
  <c r="AN7" i="2"/>
  <c r="AL7" i="2"/>
  <c r="AM7" i="2" s="1"/>
  <c r="AJ7" i="2"/>
  <c r="AK7" i="2" s="1"/>
  <c r="AI7" i="2"/>
  <c r="F7" i="2"/>
  <c r="AP6" i="2"/>
  <c r="AO6" i="2"/>
  <c r="AN6" i="2"/>
  <c r="AL6" i="2"/>
  <c r="AM6" i="2" s="1"/>
  <c r="AK6" i="2"/>
  <c r="AJ6" i="2"/>
  <c r="AI6" i="2"/>
  <c r="F6" i="2"/>
  <c r="AP5" i="2"/>
  <c r="AN5" i="2"/>
  <c r="AO5" i="2" s="1"/>
  <c r="AL5" i="2"/>
  <c r="AM5" i="2" s="1"/>
  <c r="AJ5" i="2"/>
  <c r="AK5" i="2" s="1"/>
  <c r="AI5" i="2"/>
  <c r="F5" i="2"/>
  <c r="AN4" i="2"/>
  <c r="AM4" i="2"/>
  <c r="AL4" i="2"/>
  <c r="AJ4" i="2"/>
  <c r="AI4" i="2"/>
  <c r="F4" i="2"/>
  <c r="AN3" i="2"/>
  <c r="AL3" i="2"/>
  <c r="AM3" i="2" s="1"/>
  <c r="AJ3" i="2"/>
  <c r="AK3" i="2" s="1"/>
  <c r="AI3" i="2"/>
  <c r="F3" i="2"/>
  <c r="AP2" i="2"/>
  <c r="AO2" i="2"/>
  <c r="AN2" i="2"/>
  <c r="AL2" i="2"/>
  <c r="AM2" i="2" s="1"/>
  <c r="AK2" i="2"/>
  <c r="AJ2" i="2"/>
  <c r="AI2" i="2"/>
  <c r="F2" i="2"/>
  <c r="AO19" i="2" l="1"/>
  <c r="AP19" i="2"/>
  <c r="AP28" i="2"/>
  <c r="AP32" i="2"/>
  <c r="AO35" i="2"/>
  <c r="AP35" i="2"/>
  <c r="AO39" i="2"/>
  <c r="AP39" i="2"/>
  <c r="AP4" i="2"/>
  <c r="AO11" i="2"/>
  <c r="AP11" i="2"/>
  <c r="AK16" i="2"/>
  <c r="AP20" i="2"/>
  <c r="AP27" i="2"/>
  <c r="AO27" i="2"/>
  <c r="AK32" i="2"/>
  <c r="AO36" i="2"/>
  <c r="AP36" i="2"/>
  <c r="AO40" i="2"/>
  <c r="AP40" i="2"/>
  <c r="AP41" i="2"/>
  <c r="AO41" i="2"/>
  <c r="AP42" i="2"/>
  <c r="AO42" i="2"/>
  <c r="AO43" i="2"/>
  <c r="AP43" i="2"/>
  <c r="AP44" i="2"/>
  <c r="AO44" i="2"/>
  <c r="AP45" i="2"/>
  <c r="AO45" i="2"/>
  <c r="AP46" i="2"/>
  <c r="AO46" i="2"/>
  <c r="AP47" i="2"/>
  <c r="AO47" i="2"/>
  <c r="AP48" i="2"/>
  <c r="AO48" i="2"/>
  <c r="AP49" i="2"/>
  <c r="AO49" i="2"/>
  <c r="AP53" i="2"/>
  <c r="AO53" i="2"/>
  <c r="AP54" i="2"/>
  <c r="AO54" i="2"/>
  <c r="AP55" i="2"/>
  <c r="AO55" i="2"/>
  <c r="AP56" i="2"/>
  <c r="AO56" i="2"/>
  <c r="AP57" i="2"/>
  <c r="AO57" i="2"/>
  <c r="AO58" i="2"/>
  <c r="AP58" i="2"/>
  <c r="AO59" i="2"/>
  <c r="AP59" i="2"/>
  <c r="AO61" i="2"/>
  <c r="AP61" i="2"/>
  <c r="AO63" i="2"/>
  <c r="AP63" i="2"/>
  <c r="AO65" i="2"/>
  <c r="AP65" i="2"/>
  <c r="AO67" i="2"/>
  <c r="AP67" i="2"/>
  <c r="AO92" i="2"/>
  <c r="AP92" i="2"/>
  <c r="AO96" i="2"/>
  <c r="AP96" i="2"/>
  <c r="AO3" i="2"/>
  <c r="AP3" i="2"/>
  <c r="AP12" i="2"/>
  <c r="AO38" i="2"/>
  <c r="AP38" i="2"/>
  <c r="AO51" i="2"/>
  <c r="AP51" i="2"/>
  <c r="AP99" i="2"/>
  <c r="AO99" i="2"/>
  <c r="AO7" i="2"/>
  <c r="AP7" i="2"/>
  <c r="AK12" i="2"/>
  <c r="AP16" i="2"/>
  <c r="AO23" i="2"/>
  <c r="AP23" i="2"/>
  <c r="AK28" i="2"/>
  <c r="AO52" i="2"/>
  <c r="AP52" i="2"/>
  <c r="AK4" i="2"/>
  <c r="AP8" i="2"/>
  <c r="AO15" i="2"/>
  <c r="AP15" i="2"/>
  <c r="AK20" i="2"/>
  <c r="AP24" i="2"/>
  <c r="AP31" i="2"/>
  <c r="AO31" i="2"/>
  <c r="AP37" i="2"/>
  <c r="AO37" i="2"/>
  <c r="AP50" i="2"/>
  <c r="AO50" i="2"/>
  <c r="AP115" i="2"/>
  <c r="AP127" i="2"/>
  <c r="AK61" i="2"/>
  <c r="AK67" i="2"/>
  <c r="AK71" i="2"/>
  <c r="AK75" i="2"/>
  <c r="AK79" i="2"/>
  <c r="AK83" i="2"/>
  <c r="AK91" i="2"/>
  <c r="AK103" i="2"/>
  <c r="AP104" i="2"/>
  <c r="AO104" i="2"/>
  <c r="AK115" i="2"/>
  <c r="AK123" i="2"/>
  <c r="AP124" i="2"/>
  <c r="AP128" i="2"/>
  <c r="AK131" i="2"/>
  <c r="AP199" i="2"/>
  <c r="AO199" i="2"/>
  <c r="AO4" i="2"/>
  <c r="AO8" i="2"/>
  <c r="AO12" i="2"/>
  <c r="AO16" i="2"/>
  <c r="AO20" i="2"/>
  <c r="AO24" i="2"/>
  <c r="AO28" i="2"/>
  <c r="AO32" i="2"/>
  <c r="AK92" i="2"/>
  <c r="AK96" i="2"/>
  <c r="AP103" i="2"/>
  <c r="AO103" i="2"/>
  <c r="AP107" i="2"/>
  <c r="AO107" i="2"/>
  <c r="AP111" i="2"/>
  <c r="AO111" i="2"/>
  <c r="AP119" i="2"/>
  <c r="AP123" i="2"/>
  <c r="AP131" i="2"/>
  <c r="AK63" i="2"/>
  <c r="AK65" i="2"/>
  <c r="AK69" i="2"/>
  <c r="AK73" i="2"/>
  <c r="AK77" i="2"/>
  <c r="AK81" i="2"/>
  <c r="AK85" i="2"/>
  <c r="AK87" i="2"/>
  <c r="AK89" i="2"/>
  <c r="AK99" i="2"/>
  <c r="AP100" i="2"/>
  <c r="AO100" i="2"/>
  <c r="AK107" i="2"/>
  <c r="AP108" i="2"/>
  <c r="AO108" i="2"/>
  <c r="AK111" i="2"/>
  <c r="AP112" i="2"/>
  <c r="AO112" i="2"/>
  <c r="AP116" i="2"/>
  <c r="AK119" i="2"/>
  <c r="AP120" i="2"/>
  <c r="AK127" i="2"/>
  <c r="AK195" i="2"/>
  <c r="AK60" i="2"/>
  <c r="AP60" i="2"/>
  <c r="AK62" i="2"/>
  <c r="AP62" i="2"/>
  <c r="AK64" i="2"/>
  <c r="AP64" i="2"/>
  <c r="AK66" i="2"/>
  <c r="AP66" i="2"/>
  <c r="AK68" i="2"/>
  <c r="AK70" i="2"/>
  <c r="AK72" i="2"/>
  <c r="AK74" i="2"/>
  <c r="AK76" i="2"/>
  <c r="AK78" i="2"/>
  <c r="AK80" i="2"/>
  <c r="AK82" i="2"/>
  <c r="AK84" i="2"/>
  <c r="AK86" i="2"/>
  <c r="AP94" i="2"/>
  <c r="AP97" i="2"/>
  <c r="AO97" i="2"/>
  <c r="AK100" i="2"/>
  <c r="AP101" i="2"/>
  <c r="AO101" i="2"/>
  <c r="AK104" i="2"/>
  <c r="AP105" i="2"/>
  <c r="AO105" i="2"/>
  <c r="AK108" i="2"/>
  <c r="AP109" i="2"/>
  <c r="AO109" i="2"/>
  <c r="AK112" i="2"/>
  <c r="AP113" i="2"/>
  <c r="AO113" i="2"/>
  <c r="AK116" i="2"/>
  <c r="AP117" i="2"/>
  <c r="AK120" i="2"/>
  <c r="AP121" i="2"/>
  <c r="AK124" i="2"/>
  <c r="AP125" i="2"/>
  <c r="AK128" i="2"/>
  <c r="AP129" i="2"/>
  <c r="AK132" i="2"/>
  <c r="AP91" i="2"/>
  <c r="AK93" i="2"/>
  <c r="AP93" i="2"/>
  <c r="AK95" i="2"/>
  <c r="AP95" i="2"/>
  <c r="AK97" i="2"/>
  <c r="AP98" i="2"/>
  <c r="AO98" i="2"/>
  <c r="AK101" i="2"/>
  <c r="AP102" i="2"/>
  <c r="AO102" i="2"/>
  <c r="AK105" i="2"/>
  <c r="AP106" i="2"/>
  <c r="AO106" i="2"/>
  <c r="AK109" i="2"/>
  <c r="AP110" i="2"/>
  <c r="AO110" i="2"/>
  <c r="AK113" i="2"/>
  <c r="AP114" i="2"/>
  <c r="AK117" i="2"/>
  <c r="AP118" i="2"/>
  <c r="AK121" i="2"/>
  <c r="AP122" i="2"/>
  <c r="AP126" i="2"/>
  <c r="AP130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</calcChain>
</file>

<file path=xl/sharedStrings.xml><?xml version="1.0" encoding="utf-8"?>
<sst xmlns="http://schemas.openxmlformats.org/spreadsheetml/2006/main" count="1337" uniqueCount="697">
  <si>
    <t>שם החברה</t>
  </si>
  <si>
    <t>מספר סידורי</t>
  </si>
  <si>
    <t>שער מניה</t>
  </si>
  <si>
    <t>שווי שוק</t>
  </si>
  <si>
    <t>מכפיל רווח</t>
  </si>
  <si>
    <t>תשואה על ההון</t>
  </si>
  <si>
    <t>Y/2024 סך מאזן</t>
  </si>
  <si>
    <t>Y/2024 הון עצמי</t>
  </si>
  <si>
    <t>Y/2024 הכנסות</t>
  </si>
  <si>
    <t>Y/2024 רווח נקי</t>
  </si>
  <si>
    <t>Y/2023 סך מאזן</t>
  </si>
  <si>
    <t>Y/2023 הון עצמי</t>
  </si>
  <si>
    <t>Y/2023 הכנסות</t>
  </si>
  <si>
    <t>Y/2023 רווח נקי</t>
  </si>
  <si>
    <t>Q3/2025 סך מאזן</t>
  </si>
  <si>
    <t>Q3/2025 הון עצמי</t>
  </si>
  <si>
    <t>Q3/2025 הכנסות</t>
  </si>
  <si>
    <t>Q3/2025 רווח נקי</t>
  </si>
  <si>
    <t>Q2/2025 סך מאזן</t>
  </si>
  <si>
    <t>Q2/2025 הון עצמי</t>
  </si>
  <si>
    <t>Q2/2025 הכנסות</t>
  </si>
  <si>
    <t>Q2/2025 רווח נקי</t>
  </si>
  <si>
    <t>Q1/2025 סך מאזן</t>
  </si>
  <si>
    <t>Q1/2025 הון עצמי</t>
  </si>
  <si>
    <t>Q1/2025 הכנסות</t>
  </si>
  <si>
    <t>Q1/2025 רווח נקי</t>
  </si>
  <si>
    <t>Q4/2024 סך מאזן</t>
  </si>
  <si>
    <t>Q4/2024 הון עצמי</t>
  </si>
  <si>
    <t>Q4/2024 הכנסות</t>
  </si>
  <si>
    <t>Q4/2024 רווח נקי</t>
  </si>
  <si>
    <t>Q3/2024 סך מאזן</t>
  </si>
  <si>
    <t>Q3/2024 הון עצמי</t>
  </si>
  <si>
    <t>Q3/2024 הכנסות</t>
  </si>
  <si>
    <t>Q3/2024 רווח נקי</t>
  </si>
  <si>
    <t>תשואות 3 חודשים</t>
  </si>
  <si>
    <t>תשואות 12 חודשים</t>
  </si>
  <si>
    <t>תשואות 3 שנים</t>
  </si>
  <si>
    <t>אבגול</t>
  </si>
  <si>
    <t>הפסד</t>
  </si>
  <si>
    <t>אבו מגורים</t>
  </si>
  <si>
    <t>50</t>
  </si>
  <si>
    <t>אבוג'ן</t>
  </si>
  <si>
    <t>אביב בניה</t>
  </si>
  <si>
    <t>17.09</t>
  </si>
  <si>
    <t>אברא</t>
  </si>
  <si>
    <t>36.8</t>
  </si>
  <si>
    <t>אברבוך</t>
  </si>
  <si>
    <t>אברות</t>
  </si>
  <si>
    <t>68.72</t>
  </si>
  <si>
    <t>אדגר</t>
  </si>
  <si>
    <t>19.8</t>
  </si>
  <si>
    <t>או.אר.טי</t>
  </si>
  <si>
    <t>אוברסיז</t>
  </si>
  <si>
    <t>15</t>
  </si>
  <si>
    <t>אוגווינד</t>
  </si>
  <si>
    <t>אודיוקודס</t>
  </si>
  <si>
    <t>16.24</t>
  </si>
  <si>
    <t>אוטונומוס</t>
  </si>
  <si>
    <t>0.75</t>
  </si>
  <si>
    <t>אולמד סולושנס</t>
  </si>
  <si>
    <t>אוסטרליה ישראל</t>
  </si>
  <si>
    <t>אופל בלאנס</t>
  </si>
  <si>
    <t>9.01</t>
  </si>
  <si>
    <t>אורביט</t>
  </si>
  <si>
    <t>23.01</t>
  </si>
  <si>
    <t>אורבניקה</t>
  </si>
  <si>
    <t>13.84</t>
  </si>
  <si>
    <t>אורד</t>
  </si>
  <si>
    <t>7.53</t>
  </si>
  <si>
    <t>אורה סמארט</t>
  </si>
  <si>
    <t>2.79</t>
  </si>
  <si>
    <t>אורון קבוצה</t>
  </si>
  <si>
    <t>61</t>
  </si>
  <si>
    <t>אוריין</t>
  </si>
  <si>
    <t>אורמד פארמ</t>
  </si>
  <si>
    <t>2.45</t>
  </si>
  <si>
    <t>אטראו שוקי הון</t>
  </si>
  <si>
    <t>11.04</t>
  </si>
  <si>
    <t>אי.טי.ג'י.איי</t>
  </si>
  <si>
    <t>14.26</t>
  </si>
  <si>
    <t>איביאי חיתום</t>
  </si>
  <si>
    <t>9.12</t>
  </si>
  <si>
    <t>איביאי טכנולוגיה עילית</t>
  </si>
  <si>
    <t>אידומו</t>
  </si>
  <si>
    <t>איי ארגנטו יהש</t>
  </si>
  <si>
    <t>אייאיאס</t>
  </si>
  <si>
    <t>10.86</t>
  </si>
  <si>
    <t>איידנטי</t>
  </si>
  <si>
    <t>איילון</t>
  </si>
  <si>
    <t>6.92</t>
  </si>
  <si>
    <t>אייקון גרופ</t>
  </si>
  <si>
    <t>8.59</t>
  </si>
  <si>
    <t>איירטאצ</t>
  </si>
  <si>
    <t>אילקס מדיקל</t>
  </si>
  <si>
    <t>16.22</t>
  </si>
  <si>
    <t>אימאג'סט</t>
  </si>
  <si>
    <t>אימד יהש</t>
  </si>
  <si>
    <t>אימקו</t>
  </si>
  <si>
    <t>8.85</t>
  </si>
  <si>
    <t>אינטר תעשיות</t>
  </si>
  <si>
    <t>אינטרגאמא</t>
  </si>
  <si>
    <t>8.1</t>
  </si>
  <si>
    <t>אינטרקיור</t>
  </si>
  <si>
    <t>איסתא</t>
  </si>
  <si>
    <t>11</t>
  </si>
  <si>
    <t>אירודרום קבוצה</t>
  </si>
  <si>
    <t>אלארום</t>
  </si>
  <si>
    <t>10.4</t>
  </si>
  <si>
    <t>אלביט הדמיה</t>
  </si>
  <si>
    <t>אלביט מדיקל טכנ</t>
  </si>
  <si>
    <t>אלדן תחבורה</t>
  </si>
  <si>
    <t>7.64</t>
  </si>
  <si>
    <t>אלוט</t>
  </si>
  <si>
    <t>448.93</t>
  </si>
  <si>
    <t>אלומה תשתיות</t>
  </si>
  <si>
    <t>אלומיי</t>
  </si>
  <si>
    <t>אלטשולר שחם פנ</t>
  </si>
  <si>
    <t>15.17</t>
  </si>
  <si>
    <t>אלמדה יהש</t>
  </si>
  <si>
    <t>אלמוגים</t>
  </si>
  <si>
    <t>63.41</t>
  </si>
  <si>
    <t>אלמור חשמל</t>
  </si>
  <si>
    <t>18.05</t>
  </si>
  <si>
    <t>אלספק</t>
  </si>
  <si>
    <t>4.26</t>
  </si>
  <si>
    <t>אלעד תוכנה</t>
  </si>
  <si>
    <t>15.27</t>
  </si>
  <si>
    <t>אלקטריאון</t>
  </si>
  <si>
    <t>אלרוב נדלן</t>
  </si>
  <si>
    <t>5.34</t>
  </si>
  <si>
    <t>אלרון</t>
  </si>
  <si>
    <t>5.05</t>
  </si>
  <si>
    <t>אמיליה פיתוח</t>
  </si>
  <si>
    <t>19.26</t>
  </si>
  <si>
    <t>אמנת</t>
  </si>
  <si>
    <t>6.9</t>
  </si>
  <si>
    <t>אמת</t>
  </si>
  <si>
    <t>17.95</t>
  </si>
  <si>
    <t>אנגל שלמה</t>
  </si>
  <si>
    <t>אנלייבקס</t>
  </si>
  <si>
    <t>אנליסט</t>
  </si>
  <si>
    <t>17.08</t>
  </si>
  <si>
    <t>אנרג'ין</t>
  </si>
  <si>
    <t>אנשי העיר</t>
  </si>
  <si>
    <t>אס אר אקורד</t>
  </si>
  <si>
    <t>9.16</t>
  </si>
  <si>
    <t>אסטיגי</t>
  </si>
  <si>
    <t>6.72</t>
  </si>
  <si>
    <t>אספן גרופ</t>
  </si>
  <si>
    <t>אפולו פאוור</t>
  </si>
  <si>
    <t>אפי נכסים</t>
  </si>
  <si>
    <t>11.45</t>
  </si>
  <si>
    <t>אפי קפיטל</t>
  </si>
  <si>
    <t>30.54</t>
  </si>
  <si>
    <t>אפיטומי מדיקל</t>
  </si>
  <si>
    <t>אפסלון ברנדס</t>
  </si>
  <si>
    <t>אפקון החזקות</t>
  </si>
  <si>
    <t>20.7</t>
  </si>
  <si>
    <t>אקוואריוס מנוע</t>
  </si>
  <si>
    <t>אקונרג'י</t>
  </si>
  <si>
    <t>2,080.59</t>
  </si>
  <si>
    <t>אקס טי אל</t>
  </si>
  <si>
    <t>אקסונז ויזן</t>
  </si>
  <si>
    <t>אקסיליון</t>
  </si>
  <si>
    <t>אקסל</t>
  </si>
  <si>
    <t>81.41</t>
  </si>
  <si>
    <t>אר פי אופטיקל</t>
  </si>
  <si>
    <t>23.14</t>
  </si>
  <si>
    <t>אראסאל</t>
  </si>
  <si>
    <t>5.46</t>
  </si>
  <si>
    <t>ארבה רובוטיקס</t>
  </si>
  <si>
    <t>ארד</t>
  </si>
  <si>
    <t>13.3</t>
  </si>
  <si>
    <t>ארי נדלן</t>
  </si>
  <si>
    <t>12.32</t>
  </si>
  <si>
    <t>אריקה כרמל</t>
  </si>
  <si>
    <t>ארן</t>
  </si>
  <si>
    <t>6.07</t>
  </si>
  <si>
    <t>באבלס</t>
  </si>
  <si>
    <t>24.46</t>
  </si>
  <si>
    <t>באטמ</t>
  </si>
  <si>
    <t>באפ טכנו</t>
  </si>
  <si>
    <t>בול מסחר</t>
  </si>
  <si>
    <t>בוליגו</t>
  </si>
  <si>
    <t>31.91</t>
  </si>
  <si>
    <t>בונוס ביוגרופ</t>
  </si>
  <si>
    <t>בוני תיכון</t>
  </si>
  <si>
    <t>ביג-טק 50</t>
  </si>
  <si>
    <t>ביו דבש</t>
  </si>
  <si>
    <t>ביו ויו</t>
  </si>
  <si>
    <t>ביולייט</t>
  </si>
  <si>
    <t>ביוליין</t>
  </si>
  <si>
    <t>ביומיט פוד יהש</t>
  </si>
  <si>
    <t>ביונ תלת מימד</t>
  </si>
  <si>
    <t>בירמן</t>
  </si>
  <si>
    <t>28.51</t>
  </si>
  <si>
    <t>בית בכפר</t>
  </si>
  <si>
    <t>9.09</t>
  </si>
  <si>
    <t>בית הזהב</t>
  </si>
  <si>
    <t>1.57</t>
  </si>
  <si>
    <t>בית וגג</t>
  </si>
  <si>
    <t>בית זיקוק אשדוד</t>
  </si>
  <si>
    <t>בכורי שדה</t>
  </si>
  <si>
    <t>11.39</t>
  </si>
  <si>
    <t>בלאקאדג'</t>
  </si>
  <si>
    <t>14.64</t>
  </si>
  <si>
    <t>בלדי</t>
  </si>
  <si>
    <t>13.65</t>
  </si>
  <si>
    <t>בלו וויב-ש</t>
  </si>
  <si>
    <t>בלייד ריינג'ר</t>
  </si>
  <si>
    <t>בליץ</t>
  </si>
  <si>
    <t>בלנדר</t>
  </si>
  <si>
    <t>בריינסוויי</t>
  </si>
  <si>
    <t>46.81</t>
  </si>
  <si>
    <t>בריל</t>
  </si>
  <si>
    <t>ברימאג</t>
  </si>
  <si>
    <t>7.33</t>
  </si>
  <si>
    <t>ברם תעשיות</t>
  </si>
  <si>
    <t>ברן</t>
  </si>
  <si>
    <t>20.18</t>
  </si>
  <si>
    <t>ברנד</t>
  </si>
  <si>
    <t>ברק בית השקעות</t>
  </si>
  <si>
    <t>ברקת</t>
  </si>
  <si>
    <t>8.07</t>
  </si>
  <si>
    <t>גאון אחזקות</t>
  </si>
  <si>
    <t>6.19</t>
  </si>
  <si>
    <t>גאון קבוצה</t>
  </si>
  <si>
    <t>9.42</t>
  </si>
  <si>
    <t>גבעות יהש</t>
  </si>
  <si>
    <t>גוטו</t>
  </si>
  <si>
    <t>גולד</t>
  </si>
  <si>
    <t>26.31</t>
  </si>
  <si>
    <t>גולדן אנרג'י</t>
  </si>
  <si>
    <t>גולן תעשיות</t>
  </si>
  <si>
    <t>16.01</t>
  </si>
  <si>
    <t>גולף</t>
  </si>
  <si>
    <t>7.47</t>
  </si>
  <si>
    <t>ג'י וואן</t>
  </si>
  <si>
    <t>22.47</t>
  </si>
  <si>
    <t>ג'י.אף.סי</t>
  </si>
  <si>
    <t>2.86</t>
  </si>
  <si>
    <t>ג'י.פי. גלובל</t>
  </si>
  <si>
    <t>32.83</t>
  </si>
  <si>
    <t>גילת טלקום</t>
  </si>
  <si>
    <t>7.56</t>
  </si>
  <si>
    <t>ג'ין טכנולוגיות</t>
  </si>
  <si>
    <t>גיקס</t>
  </si>
  <si>
    <t>גלובל כנפיים</t>
  </si>
  <si>
    <t>8.72</t>
  </si>
  <si>
    <t>גלובל פיי-ש</t>
  </si>
  <si>
    <t>גלוברנדס</t>
  </si>
  <si>
    <t>10</t>
  </si>
  <si>
    <t>גן שמואל</t>
  </si>
  <si>
    <t>3.81</t>
  </si>
  <si>
    <t>ג'נגו</t>
  </si>
  <si>
    <t>גניגר</t>
  </si>
  <si>
    <t>24.75</t>
  </si>
  <si>
    <t>ג'נסל</t>
  </si>
  <si>
    <t>ג'נריישן קפיטל</t>
  </si>
  <si>
    <t>14.13</t>
  </si>
  <si>
    <t>גפן מגורים</t>
  </si>
  <si>
    <t>גרופ 107</t>
  </si>
  <si>
    <t>גרייס ברידינג</t>
  </si>
  <si>
    <t>דור אלון</t>
  </si>
  <si>
    <t>9.98</t>
  </si>
  <si>
    <t>דורסל החז</t>
  </si>
  <si>
    <t>7.91</t>
  </si>
  <si>
    <t>די.אן.איי קבוצה</t>
  </si>
  <si>
    <t>63.51</t>
  </si>
  <si>
    <t>דיסקונט השקעות</t>
  </si>
  <si>
    <t>10.67</t>
  </si>
  <si>
    <t>דיפלומט אחזקות</t>
  </si>
  <si>
    <t>12.71</t>
  </si>
  <si>
    <t>דלק נכסים</t>
  </si>
  <si>
    <t>13.08</t>
  </si>
  <si>
    <t>דן מלונות</t>
  </si>
  <si>
    <t>2,160.01</t>
  </si>
  <si>
    <t>הדסית ביו</t>
  </si>
  <si>
    <t>הולמס פלייס</t>
  </si>
  <si>
    <t>20.87</t>
  </si>
  <si>
    <t>הום ביוגז</t>
  </si>
  <si>
    <t>הזדמנות יהש</t>
  </si>
  <si>
    <t>הייפר גלובל</t>
  </si>
  <si>
    <t>16.56</t>
  </si>
  <si>
    <t>הכשרה התחדשות</t>
  </si>
  <si>
    <t>הכשרת הישוב</t>
  </si>
  <si>
    <t>10.46</t>
  </si>
  <si>
    <t>המשביר 365</t>
  </si>
  <si>
    <t>ווטר אי או</t>
  </si>
  <si>
    <t>וויי בוקס</t>
  </si>
  <si>
    <t>ווישור גלובלטק</t>
  </si>
  <si>
    <t>6.68</t>
  </si>
  <si>
    <t>ויז'ן סיגמא</t>
  </si>
  <si>
    <t>וילי פוד</t>
  </si>
  <si>
    <t>10.82</t>
  </si>
  <si>
    <t>וילי פוד אינטרנ</t>
  </si>
  <si>
    <t>12.16</t>
  </si>
  <si>
    <t>וילק</t>
  </si>
  <si>
    <t>ויקטורי</t>
  </si>
  <si>
    <t>23.23</t>
  </si>
  <si>
    <t>ויתניה</t>
  </si>
  <si>
    <t>זוז אסטרטגיה</t>
  </si>
  <si>
    <t>זנלכל</t>
  </si>
  <si>
    <t>13.22</t>
  </si>
  <si>
    <t>זפירוס</t>
  </si>
  <si>
    <t>395.63</t>
  </si>
  <si>
    <t>חג'ג' אירופה</t>
  </si>
  <si>
    <t>חג'ג' נדלן</t>
  </si>
  <si>
    <t>חד</t>
  </si>
  <si>
    <t>7.67</t>
  </si>
  <si>
    <t>חירון</t>
  </si>
  <si>
    <t>14.71</t>
  </si>
  <si>
    <t>חלל תקשורת</t>
  </si>
  <si>
    <t>3.47</t>
  </si>
  <si>
    <t>חממה סחר</t>
  </si>
  <si>
    <t>5.72</t>
  </si>
  <si>
    <t>חמת</t>
  </si>
  <si>
    <t>18.01</t>
  </si>
  <si>
    <t>טוגדר</t>
  </si>
  <si>
    <t>טונדו סמארט</t>
  </si>
  <si>
    <t>טופ גאם</t>
  </si>
  <si>
    <t>טופ גרופ</t>
  </si>
  <si>
    <t>16.44</t>
  </si>
  <si>
    <t>טורבוג'ן</t>
  </si>
  <si>
    <t>טי.ג'י.איי</t>
  </si>
  <si>
    <t>11.51</t>
  </si>
  <si>
    <t>טיאסגי</t>
  </si>
  <si>
    <t>81.52</t>
  </si>
  <si>
    <t>טיב טעם</t>
  </si>
  <si>
    <t>15.7</t>
  </si>
  <si>
    <t>טכנ גילוי אש גז</t>
  </si>
  <si>
    <t>טלסיס</t>
  </si>
  <si>
    <t>15.8</t>
  </si>
  <si>
    <t>טקטונה</t>
  </si>
  <si>
    <t>טראלייט</t>
  </si>
  <si>
    <t>טראקנט</t>
  </si>
  <si>
    <t>טריא</t>
  </si>
  <si>
    <t>טרמינל איקס</t>
  </si>
  <si>
    <t>26.28</t>
  </si>
  <si>
    <t>י.ב התחדשות-ש</t>
  </si>
  <si>
    <t>יו.אמ.איץ'</t>
  </si>
  <si>
    <t>179.32</t>
  </si>
  <si>
    <t>יוטרון</t>
  </si>
  <si>
    <t>44.23</t>
  </si>
  <si>
    <t>יומן אקסטנשנס</t>
  </si>
  <si>
    <t>יוניברסל מוטורס</t>
  </si>
  <si>
    <t>13.9</t>
  </si>
  <si>
    <t>יוניטרוניקס</t>
  </si>
  <si>
    <t>11.83</t>
  </si>
  <si>
    <t>יוניקורן טכ יהש</t>
  </si>
  <si>
    <t>יוניק-טק יהש</t>
  </si>
  <si>
    <t>יסודות</t>
  </si>
  <si>
    <t>יעז יזמות</t>
  </si>
  <si>
    <t>יעקב פיננסים</t>
  </si>
  <si>
    <t>9.86</t>
  </si>
  <si>
    <t>יעקובי קבוצה</t>
  </si>
  <si>
    <t>יצוא</t>
  </si>
  <si>
    <t>5.88</t>
  </si>
  <si>
    <t>ירושלים</t>
  </si>
  <si>
    <t>8.24</t>
  </si>
  <si>
    <t>ישראייר גרופ</t>
  </si>
  <si>
    <t>כהן פיתוח</t>
  </si>
  <si>
    <t>12.04</t>
  </si>
  <si>
    <t>כלל ביוטכנו</t>
  </si>
  <si>
    <t>כן פייט ביופרמה</t>
  </si>
  <si>
    <t>כנפיים</t>
  </si>
  <si>
    <t>2.28</t>
  </si>
  <si>
    <t>כפרית</t>
  </si>
  <si>
    <t>10.31</t>
  </si>
  <si>
    <t>כרמית</t>
  </si>
  <si>
    <t>כרמל קורפ</t>
  </si>
  <si>
    <t>32.42</t>
  </si>
  <si>
    <t>להב</t>
  </si>
  <si>
    <t>8.03</t>
  </si>
  <si>
    <t>לודזיה</t>
  </si>
  <si>
    <t>5.65</t>
  </si>
  <si>
    <t>לודן</t>
  </si>
  <si>
    <t>6.1</t>
  </si>
  <si>
    <t>לודן-טק</t>
  </si>
  <si>
    <t>לוזון קבוצה</t>
  </si>
  <si>
    <t>49.65</t>
  </si>
  <si>
    <t>לוזון רונסון</t>
  </si>
  <si>
    <t>23.32</t>
  </si>
  <si>
    <t>לוינסקי עופר</t>
  </si>
  <si>
    <t>לוינשטין הנדסה</t>
  </si>
  <si>
    <t>ליבנטל</t>
  </si>
  <si>
    <t>13.74</t>
  </si>
  <si>
    <t>ליברה</t>
  </si>
  <si>
    <t>12.57</t>
  </si>
  <si>
    <t>לייבפרסון</t>
  </si>
  <si>
    <t>ליניאג תרפיוטיק</t>
  </si>
  <si>
    <t>לכיש</t>
  </si>
  <si>
    <t>3.97</t>
  </si>
  <si>
    <t>לסיכו</t>
  </si>
  <si>
    <t>לפידות חלץ יהש</t>
  </si>
  <si>
    <t>16.34</t>
  </si>
  <si>
    <t>מאסיבית</t>
  </si>
  <si>
    <t>מגדלי תיכון</t>
  </si>
  <si>
    <t>7</t>
  </si>
  <si>
    <t>מגוריט</t>
  </si>
  <si>
    <t>12.98</t>
  </si>
  <si>
    <t>מגידו</t>
  </si>
  <si>
    <t>17.92</t>
  </si>
  <si>
    <t>מדיפאואר</t>
  </si>
  <si>
    <t>11.7</t>
  </si>
  <si>
    <t>מדיפרס יהש</t>
  </si>
  <si>
    <t>מהדרין</t>
  </si>
  <si>
    <t>25.71</t>
  </si>
  <si>
    <t>מודיעין יהש</t>
  </si>
  <si>
    <t>מולטי ריטייל</t>
  </si>
  <si>
    <t>30.3</t>
  </si>
  <si>
    <t>מור גמל פנסיה</t>
  </si>
  <si>
    <t>30.15</t>
  </si>
  <si>
    <t>מחלבות גד</t>
  </si>
  <si>
    <t>21.39</t>
  </si>
  <si>
    <t>מטעי הדר 1</t>
  </si>
  <si>
    <t>2.1</t>
  </si>
  <si>
    <t>מטעי הדר 5</t>
  </si>
  <si>
    <t>מטריסלף</t>
  </si>
  <si>
    <t>מידאס</t>
  </si>
  <si>
    <t>מיה דיינמיקס</t>
  </si>
  <si>
    <t>מיחשוב ישיר קב</t>
  </si>
  <si>
    <t>11.03</t>
  </si>
  <si>
    <t>מיטב טרייד</t>
  </si>
  <si>
    <t>18.47</t>
  </si>
  <si>
    <t>מיטרוניקס</t>
  </si>
  <si>
    <t>מילניום פוד יהש</t>
  </si>
  <si>
    <t>מימון ישיר</t>
  </si>
  <si>
    <t>13.73</t>
  </si>
  <si>
    <t>מירלנד</t>
  </si>
  <si>
    <t>מישורים</t>
  </si>
  <si>
    <t>מכלול מימון</t>
  </si>
  <si>
    <t>11.09</t>
  </si>
  <si>
    <t>מכפל טכנולוגיות</t>
  </si>
  <si>
    <t>165.85</t>
  </si>
  <si>
    <t>מלם-תים אחזקות</t>
  </si>
  <si>
    <t>22.05</t>
  </si>
  <si>
    <t>מלרן</t>
  </si>
  <si>
    <t>8.55</t>
  </si>
  <si>
    <t>מנדלסון תשת</t>
  </si>
  <si>
    <t>13.91</t>
  </si>
  <si>
    <t>מניבים ריט</t>
  </si>
  <si>
    <t>10.53</t>
  </si>
  <si>
    <t>מניף</t>
  </si>
  <si>
    <t>8.05</t>
  </si>
  <si>
    <t>מנרה יהש</t>
  </si>
  <si>
    <t>מצלאוי</t>
  </si>
  <si>
    <t>10.8</t>
  </si>
  <si>
    <t>מר</t>
  </si>
  <si>
    <t>10.79</t>
  </si>
  <si>
    <t>מרחביה אחזקות</t>
  </si>
  <si>
    <t>נאוי</t>
  </si>
  <si>
    <t>נובולוג</t>
  </si>
  <si>
    <t>53.55</t>
  </si>
  <si>
    <t>נור</t>
  </si>
  <si>
    <t>נורסטאר</t>
  </si>
  <si>
    <t>נטו אחזקות</t>
  </si>
  <si>
    <t>11.28</t>
  </si>
  <si>
    <t>ניסן</t>
  </si>
  <si>
    <t>נפטא</t>
  </si>
  <si>
    <t>14.12</t>
  </si>
  <si>
    <t>נקסטפרם</t>
  </si>
  <si>
    <t>נקסטקום</t>
  </si>
  <si>
    <t>39.28</t>
  </si>
  <si>
    <t>נתנאל גרופ</t>
  </si>
  <si>
    <t>נתנאל מניבים</t>
  </si>
  <si>
    <t>סאני תקשורת</t>
  </si>
  <si>
    <t>8.89</t>
  </si>
  <si>
    <t>סאנפלאואר</t>
  </si>
  <si>
    <t>סבוריט</t>
  </si>
  <si>
    <t>סולאיר</t>
  </si>
  <si>
    <t>סולטרה אנרגיה-ש</t>
  </si>
  <si>
    <t>סולרום החז</t>
  </si>
  <si>
    <t>19.31</t>
  </si>
  <si>
    <t>סונוביה</t>
  </si>
  <si>
    <t>סונול נדלן</t>
  </si>
  <si>
    <t>17.31</t>
  </si>
  <si>
    <t>סופווייב</t>
  </si>
  <si>
    <t>615.45</t>
  </si>
  <si>
    <t>סופרגז פאוור</t>
  </si>
  <si>
    <t>סופרין</t>
  </si>
  <si>
    <t>32.93</t>
  </si>
  <si>
    <t>סטורג' דרופ</t>
  </si>
  <si>
    <t>סטרוברי אינק</t>
  </si>
  <si>
    <t>19.53</t>
  </si>
  <si>
    <t>סיאון</t>
  </si>
  <si>
    <t>22.52</t>
  </si>
  <si>
    <t>סיאי</t>
  </si>
  <si>
    <t>70.74</t>
  </si>
  <si>
    <t>סייברוואן</t>
  </si>
  <si>
    <t>סי-לאב</t>
  </si>
  <si>
    <t>6.43</t>
  </si>
  <si>
    <t>סילבר קסטל</t>
  </si>
  <si>
    <t>סינאל</t>
  </si>
  <si>
    <t>8.86</t>
  </si>
  <si>
    <t>סיפיה וויז'ן</t>
  </si>
  <si>
    <t>סמארט אגרו יהש</t>
  </si>
  <si>
    <t>סנו</t>
  </si>
  <si>
    <t>18.58</t>
  </si>
  <si>
    <t>ספאנטק</t>
  </si>
  <si>
    <t>ספידווליו</t>
  </si>
  <si>
    <t>10.73</t>
  </si>
  <si>
    <t>ספרינג</t>
  </si>
  <si>
    <t>75.91</t>
  </si>
  <si>
    <t>סקודיקס</t>
  </si>
  <si>
    <t>סקופ</t>
  </si>
  <si>
    <t>13.83</t>
  </si>
  <si>
    <t>סקייליין</t>
  </si>
  <si>
    <t>עין שלישית</t>
  </si>
  <si>
    <t>על בד</t>
  </si>
  <si>
    <t>9.8</t>
  </si>
  <si>
    <t>עלמא יסודות</t>
  </si>
  <si>
    <t>6.95</t>
  </si>
  <si>
    <t>עמיעד</t>
  </si>
  <si>
    <t>עמיר שיווק</t>
  </si>
  <si>
    <t>9.74</t>
  </si>
  <si>
    <t>ערך פיננסים</t>
  </si>
  <si>
    <t>עשות</t>
  </si>
  <si>
    <t>26.44</t>
  </si>
  <si>
    <t>פאי סיאם</t>
  </si>
  <si>
    <t>4.56</t>
  </si>
  <si>
    <t>פוטומיין</t>
  </si>
  <si>
    <t>פוליגון</t>
  </si>
  <si>
    <t>6.91</t>
  </si>
  <si>
    <t>פולירם</t>
  </si>
  <si>
    <t>19.2</t>
  </si>
  <si>
    <t>פוםוום</t>
  </si>
  <si>
    <t>פורסייט</t>
  </si>
  <si>
    <t>פטרוטקס יהש</t>
  </si>
  <si>
    <t>פטרוכימיים</t>
  </si>
  <si>
    <t>פיט השקעות יהש</t>
  </si>
  <si>
    <t>פייטון</t>
  </si>
  <si>
    <t>12.64</t>
  </si>
  <si>
    <t>פיימנט</t>
  </si>
  <si>
    <t>12.52</t>
  </si>
  <si>
    <t>פינרג'י</t>
  </si>
  <si>
    <t>פיסיבי טכנ</t>
  </si>
  <si>
    <t>17.8</t>
  </si>
  <si>
    <t>פלאזה סנטרס</t>
  </si>
  <si>
    <t>פלורי</t>
  </si>
  <si>
    <t>פליינג ספארק</t>
  </si>
  <si>
    <t>פלנטארק</t>
  </si>
  <si>
    <t>פלסאון תעשיות</t>
  </si>
  <si>
    <t>12.69</t>
  </si>
  <si>
    <t>פלסאנמור</t>
  </si>
  <si>
    <t>פלסטו קרגל</t>
  </si>
  <si>
    <t>פלסטופיל</t>
  </si>
  <si>
    <t>פמס</t>
  </si>
  <si>
    <t>16.06</t>
  </si>
  <si>
    <t>פנינסולה</t>
  </si>
  <si>
    <t>פרופדו</t>
  </si>
  <si>
    <t>פרידנזון</t>
  </si>
  <si>
    <t>40.44</t>
  </si>
  <si>
    <t>פריון נטוורק</t>
  </si>
  <si>
    <t>פריים אנרג'י</t>
  </si>
  <si>
    <t>פרימוטק</t>
  </si>
  <si>
    <t>12.25</t>
  </si>
  <si>
    <t>פרפל ביוטק</t>
  </si>
  <si>
    <t>פרקומט</t>
  </si>
  <si>
    <t>32.17</t>
  </si>
  <si>
    <t>צור</t>
  </si>
  <si>
    <t>6.79</t>
  </si>
  <si>
    <t>צילו-בלו</t>
  </si>
  <si>
    <t>0.54</t>
  </si>
  <si>
    <t>צרפתי</t>
  </si>
  <si>
    <t>28.94</t>
  </si>
  <si>
    <t>קווינקו</t>
  </si>
  <si>
    <t>5.31</t>
  </si>
  <si>
    <t>קווליטאו</t>
  </si>
  <si>
    <t>21.47</t>
  </si>
  <si>
    <t>קומפיוגן</t>
  </si>
  <si>
    <t>קונטיניואל</t>
  </si>
  <si>
    <t>13.26</t>
  </si>
  <si>
    <t>קיסטון אינפרא</t>
  </si>
  <si>
    <t>3.34</t>
  </si>
  <si>
    <t>קליל</t>
  </si>
  <si>
    <t>132.81</t>
  </si>
  <si>
    <t>קמהדע</t>
  </si>
  <si>
    <t>17.85</t>
  </si>
  <si>
    <t>קנבוטק</t>
  </si>
  <si>
    <t>קנדה גלובל</t>
  </si>
  <si>
    <t>30.37</t>
  </si>
  <si>
    <t>קנזון</t>
  </si>
  <si>
    <t>קסטרו</t>
  </si>
  <si>
    <t>12.74</t>
  </si>
  <si>
    <t>קפיטל פוינט</t>
  </si>
  <si>
    <t>קרדן אן.וי</t>
  </si>
  <si>
    <t>0</t>
  </si>
  <si>
    <t>קרדן ישראל</t>
  </si>
  <si>
    <t>13.25</t>
  </si>
  <si>
    <t>קרדן נדלן</t>
  </si>
  <si>
    <t>42</t>
  </si>
  <si>
    <t>קרור</t>
  </si>
  <si>
    <t>23.25</t>
  </si>
  <si>
    <t>קשרי תעופה</t>
  </si>
  <si>
    <t>11.84</t>
  </si>
  <si>
    <t>ראלקו</t>
  </si>
  <si>
    <t>7.5</t>
  </si>
  <si>
    <t>רב בריח</t>
  </si>
  <si>
    <t>רבד</t>
  </si>
  <si>
    <t>3.77</t>
  </si>
  <si>
    <t>רבל</t>
  </si>
  <si>
    <t>7.27</t>
  </si>
  <si>
    <t>רגא שרותים</t>
  </si>
  <si>
    <t>רובוגרופ</t>
  </si>
  <si>
    <t>רוטשטיין</t>
  </si>
  <si>
    <t>4.57</t>
  </si>
  <si>
    <t>רותם אנרגיה יהש</t>
  </si>
  <si>
    <t>רותם שני</t>
  </si>
  <si>
    <t>7.22</t>
  </si>
  <si>
    <t>ריט אזורים ליוי</t>
  </si>
  <si>
    <t>ריטייל-מיינדס-ס</t>
  </si>
  <si>
    <t>5.59</t>
  </si>
  <si>
    <t>ריי טי אל וי-ש</t>
  </si>
  <si>
    <t>רייזור</t>
  </si>
  <si>
    <t>רימוני</t>
  </si>
  <si>
    <t>רם און</t>
  </si>
  <si>
    <t>13.85</t>
  </si>
  <si>
    <t>רנט איט</t>
  </si>
  <si>
    <t>27.82</t>
  </si>
  <si>
    <t>רני צים</t>
  </si>
  <si>
    <t>רפק</t>
  </si>
  <si>
    <t>224.73</t>
  </si>
  <si>
    <t>רציו פטרול יהש</t>
  </si>
  <si>
    <t>רקח</t>
  </si>
  <si>
    <t>שגריר</t>
  </si>
  <si>
    <t>12.34</t>
  </si>
  <si>
    <t>שדה נדל"ן</t>
  </si>
  <si>
    <t>שובל</t>
  </si>
  <si>
    <t>24.25</t>
  </si>
  <si>
    <t>שוהם ביזנס</t>
  </si>
  <si>
    <t>7.52</t>
  </si>
  <si>
    <t>שור-טק יהש</t>
  </si>
  <si>
    <t>שיח מדיקל</t>
  </si>
  <si>
    <t>5.93</t>
  </si>
  <si>
    <t>שירותי בנק אוטו</t>
  </si>
  <si>
    <t>16.4</t>
  </si>
  <si>
    <t>שמיים</t>
  </si>
  <si>
    <t>שמן נדלן</t>
  </si>
  <si>
    <t>שניב</t>
  </si>
  <si>
    <t>22.72</t>
  </si>
  <si>
    <t>שנפ</t>
  </si>
  <si>
    <t>45.43</t>
  </si>
  <si>
    <t>שרין טכנו</t>
  </si>
  <si>
    <t>תאת טכנו</t>
  </si>
  <si>
    <t>29.15</t>
  </si>
  <si>
    <t>תדאה</t>
  </si>
  <si>
    <t>תדיראן גרופ</t>
  </si>
  <si>
    <t>תומר אנרגיה</t>
  </si>
  <si>
    <t>28.29</t>
  </si>
  <si>
    <t>תיא השקעות</t>
  </si>
  <si>
    <t>1.17</t>
  </si>
  <si>
    <t>תיגבור</t>
  </si>
  <si>
    <t>18.86</t>
  </si>
  <si>
    <t>תיגי</t>
  </si>
  <si>
    <t>תיקון עולם קנבט</t>
  </si>
  <si>
    <t>תמיס</t>
  </si>
  <si>
    <t>תעוזה</t>
  </si>
  <si>
    <t>תפרון</t>
  </si>
  <si>
    <t>9.36</t>
  </si>
  <si>
    <t>יחס הון מאזן</t>
  </si>
  <si>
    <t>רווח נקי גלום במחיר המניה</t>
  </si>
  <si>
    <t>רווח 4 רבעונים</t>
  </si>
  <si>
    <t>הפרש</t>
  </si>
  <si>
    <t>הכנסות צפויות</t>
  </si>
  <si>
    <t>שינוי מ-2024</t>
  </si>
  <si>
    <t>רווח נקי צפוי 2025</t>
  </si>
  <si>
    <t>פוטנציאל</t>
  </si>
  <si>
    <t>לקנות</t>
  </si>
  <si>
    <t>תחבורה וייצור חשמל</t>
  </si>
  <si>
    <t>מוצרי נייר וניקיון</t>
  </si>
  <si>
    <t>נתונים יציבים</t>
  </si>
  <si>
    <t>נדל"ן מניב בחו"ל</t>
  </si>
  <si>
    <t>תנודתית</t>
  </si>
  <si>
    <t>עלתה 28% בחודשיים</t>
  </si>
  <si>
    <t>מגבונים</t>
  </si>
  <si>
    <t>עלתה 50% ב-3 חודשים</t>
  </si>
  <si>
    <t>פלדה</t>
  </si>
  <si>
    <t>נדלן מניב</t>
  </si>
  <si>
    <t>עלתה 12.5% ביום</t>
  </si>
  <si>
    <t>פעולות בגיליון מניות היתר ברבעון שלישי</t>
  </si>
  <si>
    <t>קח את המניות עם  מכפיל הרווח בין 2 ל- 40</t>
  </si>
  <si>
    <t>בדוק שיחס ההון למאזן גבוה יותר מ-20% (עמודה P חלקי O - הון עצמי חלקי מאזן)</t>
  </si>
  <si>
    <t>חשב רווח נקי גלום במחיר המניה (עמודה D חלקי E - שווי שוק חלקי מכפיל הרווח)</t>
  </si>
  <si>
    <t>חבר את הרווח הנקי של 4 הרבעונים האחרונים (רבעון 4 משנה קודמת + 3 הרבעונים השנה)</t>
  </si>
  <si>
    <t>בדוק שההפרש בין 2 התנאים האחרונים (3+4) קטן מ-5%</t>
  </si>
  <si>
    <t>בהימלא כל התנאים הנ"ל, זאת הקבוצה שנעבוד עליה</t>
  </si>
  <si>
    <t>חבר את 3 ההכנסות של הרבעונים השנה - חלק ב-3 כפול 4</t>
  </si>
  <si>
    <t>השווה לסך ההכנסות משנה קודמת בעמודה I</t>
  </si>
  <si>
    <t>הכנסות השנה חלקי הכנסות שנה קודמת, פחות 1 (באחוזים)</t>
  </si>
  <si>
    <t>חבר את 3 הרווח הנקי של הרבעונים השנה - חלק ב-3 כפול 4</t>
  </si>
  <si>
    <t>השווה לסך הרווח הנקי משנה קודמת בעמודה J</t>
  </si>
  <si>
    <t>רווח נקי השנה חלקי רווח נקי שנה קודמת, פחות 1 (באחוזים)</t>
  </si>
  <si>
    <t>פוטנציאל השקעה: השווה את סעיף 8 לסעיף 3</t>
  </si>
  <si>
    <t>סעיף 8 חלקי סעיף 3, פחות 1 (באחוזים)</t>
  </si>
  <si>
    <t>סדר את הטבלה לפי סעיף 10 מהגבוה לנמוך</t>
  </si>
  <si>
    <r>
      <t xml:space="preserve">להשקיע במניות שבהן כל 3 החישובים המסומנים בצהוב הם </t>
    </r>
    <r>
      <rPr>
        <b/>
        <sz val="11"/>
        <color theme="1"/>
        <rFont val="Arial"/>
        <family val="2"/>
        <scheme val="minor"/>
      </rPr>
      <t>חיוביים</t>
    </r>
    <r>
      <rPr>
        <sz val="11"/>
        <color theme="1"/>
        <rFont val="Arial"/>
        <family val="2"/>
        <scheme val="minor"/>
      </rPr>
      <t xml:space="preserve"> - סעיף 7, 9, 10 עם דגש על סעיף 10 הכי חשוב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</si>
</sst>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3" fontId="0" fillId="0" borderId="0" xfId="1" applyFont="1"/>
    <xf numFmtId="2" fontId="0" fillId="0" borderId="0" xfId="0" applyNumberFormat="1"/>
    <xf numFmtId="43" fontId="3" fillId="0" borderId="1" xfId="1" applyFont="1" applyBorder="1"/>
    <xf numFmtId="43" fontId="3" fillId="0" borderId="0" xfId="1" applyFont="1" applyFill="1" applyBorder="1"/>
    <xf numFmtId="43" fontId="3" fillId="0" borderId="0" xfId="3" applyFont="1" applyBorder="1" applyAlignment="1">
      <alignment horizontal="right" wrapText="1"/>
    </xf>
    <xf numFmtId="0" fontId="3" fillId="0" borderId="0" xfId="4" applyFont="1" applyAlignment="1">
      <alignment horizontal="right" wrapText="1"/>
    </xf>
    <xf numFmtId="43" fontId="3" fillId="0" borderId="0" xfId="3" applyFont="1" applyAlignment="1">
      <alignment horizontal="right" wrapText="1"/>
    </xf>
    <xf numFmtId="9" fontId="0" fillId="0" borderId="0" xfId="2" applyFont="1"/>
    <xf numFmtId="43" fontId="0" fillId="0" borderId="0" xfId="0" applyNumberFormat="1"/>
    <xf numFmtId="0" fontId="0" fillId="2" borderId="0" xfId="0" applyFill="1"/>
    <xf numFmtId="0" fontId="0" fillId="3" borderId="0" xfId="0" applyFill="1"/>
    <xf numFmtId="9" fontId="0" fillId="2" borderId="0" xfId="2" applyFont="1" applyFill="1"/>
    <xf numFmtId="43" fontId="0" fillId="2" borderId="0" xfId="1" applyFont="1" applyFill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</cellXfs>
  <cellStyles count="5">
    <cellStyle name="Comma" xfId="1" builtinId="3"/>
    <cellStyle name="Comma 2" xfId="3" xr:uid="{4EC1D837-F808-494E-8D0A-F16DCD77C6B2}"/>
    <cellStyle name="Normal" xfId="0" builtinId="0"/>
    <cellStyle name="Normal 2" xfId="4" xr:uid="{FB625FA5-1638-49C3-8900-44718EF62A9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D608-3733-48ED-A707-971ED530C4C0}">
  <dimension ref="A1:AK408"/>
  <sheetViews>
    <sheetView rightToLeft="1" topLeftCell="A255" workbookViewId="0">
      <selection activeCell="B20" sqref="B20"/>
    </sheetView>
  </sheetViews>
  <sheetFormatPr defaultRowHeight="14.25" x14ac:dyDescent="0.2"/>
  <cols>
    <col min="1" max="1" width="16.5" bestFit="1" customWidth="1"/>
    <col min="2" max="2" width="9.875" bestFit="1" customWidth="1"/>
    <col min="3" max="3" width="10.875" style="1" bestFit="1" customWidth="1"/>
    <col min="4" max="4" width="12.375" style="1" bestFit="1" customWidth="1"/>
    <col min="5" max="5" width="8.5" bestFit="1" customWidth="1"/>
    <col min="6" max="6" width="11.75" bestFit="1" customWidth="1"/>
    <col min="7" max="7" width="13.5" style="1" bestFit="1" customWidth="1"/>
    <col min="8" max="8" width="12.875" style="1" bestFit="1" customWidth="1"/>
    <col min="9" max="9" width="13.5" style="1" bestFit="1" customWidth="1"/>
    <col min="10" max="10" width="12.5" style="1" bestFit="1" customWidth="1"/>
    <col min="11" max="11" width="13.5" style="1" bestFit="1" customWidth="1"/>
    <col min="12" max="12" width="12.875" style="1" bestFit="1" customWidth="1"/>
    <col min="13" max="13" width="13.5" style="1" bestFit="1" customWidth="1"/>
    <col min="14" max="14" width="12.5" style="1" bestFit="1" customWidth="1"/>
    <col min="15" max="15" width="14.5" style="1" bestFit="1" customWidth="1"/>
    <col min="16" max="16" width="14.375" style="1" bestFit="1" customWidth="1"/>
    <col min="17" max="18" width="14" style="1" bestFit="1" customWidth="1"/>
    <col min="19" max="19" width="14.5" style="1" bestFit="1" customWidth="1"/>
    <col min="20" max="20" width="14.375" style="1" bestFit="1" customWidth="1"/>
    <col min="21" max="22" width="14" style="1" bestFit="1" customWidth="1"/>
    <col min="23" max="23" width="14.5" style="1" bestFit="1" customWidth="1"/>
    <col min="24" max="24" width="14.375" style="1" bestFit="1" customWidth="1"/>
    <col min="25" max="26" width="14" style="1" bestFit="1" customWidth="1"/>
    <col min="27" max="27" width="14.5" style="1" bestFit="1" customWidth="1"/>
    <col min="28" max="28" width="14.375" style="1" bestFit="1" customWidth="1"/>
    <col min="29" max="30" width="14" style="1" bestFit="1" customWidth="1"/>
    <col min="31" max="31" width="14.5" style="1" bestFit="1" customWidth="1"/>
    <col min="32" max="32" width="14.375" style="1" bestFit="1" customWidth="1"/>
    <col min="33" max="34" width="14" style="1" bestFit="1" customWidth="1"/>
    <col min="35" max="35" width="13.75" bestFit="1" customWidth="1"/>
    <col min="36" max="36" width="14.75" bestFit="1" customWidth="1"/>
    <col min="37" max="37" width="11.75" bestFit="1" customWidth="1"/>
  </cols>
  <sheetData>
    <row r="1" spans="1:37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>
        <v>1100957</v>
      </c>
      <c r="C2" s="1">
        <v>140.1</v>
      </c>
      <c r="D2" s="1">
        <v>415891</v>
      </c>
      <c r="E2" t="s">
        <v>38</v>
      </c>
      <c r="G2" s="1">
        <v>1710450.33</v>
      </c>
      <c r="H2" s="1">
        <v>698002.99</v>
      </c>
      <c r="I2" s="1">
        <v>1276548.5</v>
      </c>
      <c r="J2" s="1">
        <v>-2261.14</v>
      </c>
      <c r="K2" s="1">
        <v>1601821.07</v>
      </c>
      <c r="L2" s="1">
        <v>720663.16</v>
      </c>
      <c r="M2" s="1">
        <v>1153629.04</v>
      </c>
      <c r="N2" s="1">
        <v>14482.61</v>
      </c>
      <c r="O2" s="1">
        <v>1571219.48</v>
      </c>
      <c r="P2" s="1">
        <v>663831.56999999995</v>
      </c>
      <c r="Q2" s="1">
        <v>330659.51</v>
      </c>
      <c r="R2" s="1">
        <v>-3153.92</v>
      </c>
      <c r="S2" s="1">
        <v>1617555.13</v>
      </c>
      <c r="T2" s="1">
        <v>689648.18</v>
      </c>
      <c r="U2" s="1">
        <v>313845.53000000003</v>
      </c>
      <c r="V2" s="1">
        <v>-6851.9</v>
      </c>
      <c r="W2" s="1">
        <v>1784840.74</v>
      </c>
      <c r="X2" s="1">
        <v>753939.74</v>
      </c>
      <c r="Y2" s="1">
        <v>324551.65000000002</v>
      </c>
      <c r="Z2" s="1">
        <v>7952.8</v>
      </c>
      <c r="AA2" s="1">
        <v>1710450.33</v>
      </c>
      <c r="AB2" s="1">
        <v>698002.99</v>
      </c>
      <c r="AC2" s="1">
        <v>332511.58</v>
      </c>
      <c r="AD2" s="1">
        <v>-11021.23</v>
      </c>
      <c r="AE2" s="1">
        <v>1693670.67</v>
      </c>
      <c r="AF2" s="1">
        <v>743257.7</v>
      </c>
      <c r="AG2" s="1">
        <v>322436.09999999998</v>
      </c>
      <c r="AH2" s="1">
        <v>1309.6300000000001</v>
      </c>
      <c r="AI2">
        <v>-6.36</v>
      </c>
      <c r="AJ2">
        <v>-6.73</v>
      </c>
      <c r="AK2">
        <v>-26.98</v>
      </c>
    </row>
    <row r="3" spans="1:37" x14ac:dyDescent="0.2">
      <c r="A3" t="s">
        <v>39</v>
      </c>
      <c r="B3">
        <v>1175819</v>
      </c>
      <c r="C3" s="1">
        <v>768</v>
      </c>
      <c r="D3" s="1">
        <v>259322</v>
      </c>
      <c r="E3" t="s">
        <v>40</v>
      </c>
      <c r="H3" s="1">
        <v>-1856</v>
      </c>
      <c r="I3" s="1">
        <v>1216</v>
      </c>
      <c r="J3" s="1">
        <v>13698</v>
      </c>
      <c r="K3" s="1">
        <v>1391</v>
      </c>
      <c r="L3" s="1">
        <v>-15338</v>
      </c>
      <c r="M3" s="1">
        <v>4274</v>
      </c>
      <c r="N3" s="1">
        <v>-18087</v>
      </c>
      <c r="S3" s="1">
        <v>458</v>
      </c>
      <c r="T3" s="1">
        <v>-767</v>
      </c>
      <c r="V3" s="1">
        <v>-373</v>
      </c>
      <c r="AB3" s="1">
        <v>-1856</v>
      </c>
      <c r="AD3" s="1">
        <v>9566</v>
      </c>
      <c r="AI3">
        <v>4.21</v>
      </c>
      <c r="AJ3">
        <v>26.32</v>
      </c>
      <c r="AK3">
        <v>-96.23</v>
      </c>
    </row>
    <row r="4" spans="1:37" x14ac:dyDescent="0.2">
      <c r="A4" t="s">
        <v>41</v>
      </c>
      <c r="B4">
        <v>1105055</v>
      </c>
      <c r="C4" s="1">
        <v>365.3</v>
      </c>
      <c r="D4" s="1">
        <v>31841</v>
      </c>
      <c r="E4" t="s">
        <v>38</v>
      </c>
      <c r="G4" s="1">
        <v>145384.01</v>
      </c>
      <c r="H4" s="1">
        <v>-5291.8</v>
      </c>
      <c r="I4" s="1">
        <v>20339.32</v>
      </c>
      <c r="J4" s="1">
        <v>-60120.800000000003</v>
      </c>
      <c r="K4" s="1">
        <v>185343.33</v>
      </c>
      <c r="L4" s="1">
        <v>43716.23</v>
      </c>
      <c r="M4" s="1">
        <v>20456.28</v>
      </c>
      <c r="N4" s="1">
        <v>-86609.14</v>
      </c>
      <c r="O4" s="1">
        <v>86240.320000000007</v>
      </c>
      <c r="P4" s="1">
        <v>3775.45</v>
      </c>
      <c r="Q4" s="1">
        <v>1031.47</v>
      </c>
      <c r="R4" s="1">
        <v>12807.44</v>
      </c>
      <c r="S4" s="1">
        <v>114398.47</v>
      </c>
      <c r="T4" s="1">
        <v>-11970.6</v>
      </c>
      <c r="U4" s="1">
        <v>2980.85</v>
      </c>
      <c r="V4" s="1">
        <v>-15045.86</v>
      </c>
      <c r="W4" s="1">
        <v>127542.27</v>
      </c>
      <c r="X4" s="1">
        <v>-13552.11</v>
      </c>
      <c r="Y4" s="1">
        <v>9086.7900000000009</v>
      </c>
      <c r="Z4" s="1">
        <v>-9618.4699999999993</v>
      </c>
      <c r="AA4" s="1">
        <v>145384.01</v>
      </c>
      <c r="AB4" s="1">
        <v>-5291.8</v>
      </c>
      <c r="AC4" s="1">
        <v>-3493.83</v>
      </c>
      <c r="AD4" s="1">
        <v>1557.27</v>
      </c>
      <c r="AE4" s="1">
        <v>148822.94</v>
      </c>
      <c r="AF4" s="1">
        <v>-16112.53</v>
      </c>
      <c r="AG4" s="1">
        <v>6455.4</v>
      </c>
      <c r="AH4" s="1">
        <v>-28307.3</v>
      </c>
      <c r="AI4">
        <v>-15.96</v>
      </c>
      <c r="AJ4">
        <v>-39.51</v>
      </c>
      <c r="AK4">
        <v>-84.32</v>
      </c>
    </row>
    <row r="5" spans="1:37" x14ac:dyDescent="0.2">
      <c r="A5" t="s">
        <v>42</v>
      </c>
      <c r="B5">
        <v>444018</v>
      </c>
      <c r="C5" s="1">
        <v>2011</v>
      </c>
      <c r="D5" s="1">
        <v>266427</v>
      </c>
      <c r="E5" t="s">
        <v>43</v>
      </c>
      <c r="G5" s="1">
        <v>1176303</v>
      </c>
      <c r="H5" s="1">
        <v>366524</v>
      </c>
      <c r="I5" s="1">
        <v>370502</v>
      </c>
      <c r="J5" s="1">
        <v>33375</v>
      </c>
      <c r="K5" s="1">
        <v>975842</v>
      </c>
      <c r="L5" s="1">
        <v>333872</v>
      </c>
      <c r="M5" s="1">
        <v>278676</v>
      </c>
      <c r="N5" s="1">
        <v>23184</v>
      </c>
      <c r="S5" s="1">
        <v>1102300</v>
      </c>
      <c r="T5" s="1">
        <v>363954</v>
      </c>
      <c r="U5" s="1">
        <v>33706</v>
      </c>
      <c r="V5" s="1">
        <v>-882</v>
      </c>
      <c r="W5" s="1">
        <v>1111322</v>
      </c>
      <c r="X5" s="1">
        <v>364993</v>
      </c>
      <c r="Y5" s="1">
        <v>68602</v>
      </c>
      <c r="Z5" s="1">
        <v>4651</v>
      </c>
      <c r="AA5" s="1">
        <v>1176303</v>
      </c>
      <c r="AB5" s="1">
        <v>366524</v>
      </c>
      <c r="AC5" s="1">
        <v>89565</v>
      </c>
      <c r="AD5" s="1">
        <v>13039</v>
      </c>
      <c r="AE5" s="1">
        <v>1160936</v>
      </c>
      <c r="AF5" s="1">
        <v>347141</v>
      </c>
      <c r="AG5" s="1">
        <v>91033</v>
      </c>
      <c r="AH5" s="1">
        <v>5086</v>
      </c>
      <c r="AI5">
        <v>5.73</v>
      </c>
      <c r="AJ5">
        <v>9.35</v>
      </c>
      <c r="AK5">
        <v>32.36</v>
      </c>
    </row>
    <row r="6" spans="1:37" x14ac:dyDescent="0.2">
      <c r="A6" t="s">
        <v>44</v>
      </c>
      <c r="B6">
        <v>1101666</v>
      </c>
      <c r="C6" s="1">
        <v>431</v>
      </c>
      <c r="D6" s="1">
        <v>504508</v>
      </c>
      <c r="E6" t="s">
        <v>45</v>
      </c>
      <c r="G6" s="1">
        <v>602967</v>
      </c>
      <c r="H6" s="1">
        <v>344965</v>
      </c>
      <c r="I6" s="1">
        <v>444683</v>
      </c>
      <c r="J6" s="1">
        <v>13638</v>
      </c>
      <c r="K6" s="1">
        <v>589043</v>
      </c>
      <c r="L6" s="1">
        <v>290778</v>
      </c>
      <c r="M6" s="1">
        <v>408001</v>
      </c>
      <c r="N6" s="1">
        <v>14464</v>
      </c>
      <c r="O6" s="1">
        <v>645042</v>
      </c>
      <c r="P6" s="1">
        <v>348758</v>
      </c>
      <c r="Q6" s="1">
        <v>147807</v>
      </c>
      <c r="R6" s="1">
        <v>3473</v>
      </c>
      <c r="S6" s="1">
        <v>646297</v>
      </c>
      <c r="T6" s="1">
        <v>349700</v>
      </c>
      <c r="U6" s="1">
        <v>125007</v>
      </c>
      <c r="V6" s="1">
        <v>3051</v>
      </c>
      <c r="W6" s="1">
        <v>604833</v>
      </c>
      <c r="X6" s="1">
        <v>346790</v>
      </c>
      <c r="Y6" s="1">
        <v>119407</v>
      </c>
      <c r="Z6" s="1">
        <v>2836</v>
      </c>
      <c r="AA6" s="1">
        <v>602967</v>
      </c>
      <c r="AB6" s="1">
        <v>344965</v>
      </c>
      <c r="AC6" s="1">
        <v>116587</v>
      </c>
      <c r="AD6" s="1">
        <v>4189</v>
      </c>
      <c r="AE6" s="1">
        <v>600321</v>
      </c>
      <c r="AF6" s="1">
        <v>340557</v>
      </c>
      <c r="AG6" s="1">
        <v>113543</v>
      </c>
      <c r="AH6" s="1">
        <v>3464</v>
      </c>
      <c r="AI6">
        <v>-2.5499999999999998</v>
      </c>
      <c r="AJ6">
        <v>53.97</v>
      </c>
      <c r="AK6">
        <v>15.11</v>
      </c>
    </row>
    <row r="7" spans="1:37" x14ac:dyDescent="0.2">
      <c r="A7" t="s">
        <v>46</v>
      </c>
      <c r="B7">
        <v>675017</v>
      </c>
      <c r="C7" s="1">
        <v>1263</v>
      </c>
      <c r="D7" s="1">
        <v>106355</v>
      </c>
      <c r="E7" t="s">
        <v>38</v>
      </c>
      <c r="G7" s="1">
        <v>96483</v>
      </c>
      <c r="H7" s="1">
        <v>74208</v>
      </c>
      <c r="I7" s="1">
        <v>14401</v>
      </c>
      <c r="J7" s="1">
        <v>-1143</v>
      </c>
      <c r="K7" s="1">
        <v>97456</v>
      </c>
      <c r="L7" s="1">
        <v>74904</v>
      </c>
      <c r="M7" s="1">
        <v>17683</v>
      </c>
      <c r="N7" s="1">
        <v>-2875</v>
      </c>
      <c r="S7" s="1">
        <v>91393</v>
      </c>
      <c r="T7" s="1">
        <v>73538</v>
      </c>
      <c r="U7" s="1">
        <v>7699</v>
      </c>
      <c r="V7" s="1">
        <v>-670</v>
      </c>
      <c r="AA7" s="1">
        <v>96483</v>
      </c>
      <c r="AB7" s="1">
        <v>74208</v>
      </c>
      <c r="AC7" s="1">
        <v>7398</v>
      </c>
      <c r="AD7" s="1">
        <v>-2123</v>
      </c>
      <c r="AI7">
        <v>-3.14</v>
      </c>
      <c r="AJ7">
        <v>18.07</v>
      </c>
      <c r="AK7">
        <v>-64.709999999999994</v>
      </c>
    </row>
    <row r="8" spans="1:37" x14ac:dyDescent="0.2">
      <c r="A8" t="s">
        <v>47</v>
      </c>
      <c r="B8">
        <v>297010</v>
      </c>
      <c r="C8" s="1">
        <v>53.1</v>
      </c>
      <c r="D8" s="1">
        <v>185952</v>
      </c>
      <c r="E8" t="s">
        <v>48</v>
      </c>
      <c r="G8" s="1">
        <v>223077</v>
      </c>
      <c r="H8" s="1">
        <v>107272</v>
      </c>
      <c r="I8" s="1">
        <v>137644</v>
      </c>
      <c r="J8" s="1">
        <v>2746</v>
      </c>
      <c r="K8" s="1">
        <v>237180</v>
      </c>
      <c r="L8" s="1">
        <v>104543</v>
      </c>
      <c r="M8" s="1">
        <v>146855</v>
      </c>
      <c r="N8" s="1">
        <v>1491</v>
      </c>
      <c r="S8" s="1">
        <v>220519</v>
      </c>
      <c r="T8" s="1">
        <v>108110</v>
      </c>
      <c r="U8" s="1">
        <v>62569</v>
      </c>
      <c r="V8" s="1">
        <v>847</v>
      </c>
      <c r="AA8" s="1">
        <v>223077</v>
      </c>
      <c r="AB8" s="1">
        <v>107272</v>
      </c>
      <c r="AC8" s="1">
        <v>70757</v>
      </c>
      <c r="AD8" s="1">
        <v>2356</v>
      </c>
      <c r="AI8">
        <v>1.72</v>
      </c>
      <c r="AJ8">
        <v>14.16</v>
      </c>
      <c r="AK8">
        <v>-30</v>
      </c>
    </row>
    <row r="9" spans="1:37" x14ac:dyDescent="0.2">
      <c r="A9" t="s">
        <v>49</v>
      </c>
      <c r="B9">
        <v>1820083</v>
      </c>
      <c r="C9" s="1">
        <v>484.9</v>
      </c>
      <c r="D9" s="1">
        <v>916119</v>
      </c>
      <c r="E9" t="s">
        <v>50</v>
      </c>
      <c r="G9" s="1">
        <v>5490045</v>
      </c>
      <c r="H9" s="1">
        <v>1395464</v>
      </c>
      <c r="I9" s="1">
        <v>338030</v>
      </c>
      <c r="J9" s="1">
        <v>-7128</v>
      </c>
      <c r="K9" s="1">
        <v>5654649</v>
      </c>
      <c r="L9" s="1">
        <v>1479865</v>
      </c>
      <c r="M9" s="1">
        <v>320831</v>
      </c>
      <c r="N9" s="1">
        <v>95505</v>
      </c>
      <c r="O9" s="1">
        <v>5667324</v>
      </c>
      <c r="P9" s="1">
        <v>1537045</v>
      </c>
      <c r="Q9" s="1">
        <v>84152</v>
      </c>
      <c r="R9" s="1">
        <v>15724</v>
      </c>
      <c r="S9" s="1">
        <v>5687541</v>
      </c>
      <c r="T9" s="1">
        <v>1419259</v>
      </c>
      <c r="U9" s="1">
        <v>85872</v>
      </c>
      <c r="V9" s="1">
        <v>25687</v>
      </c>
      <c r="W9" s="1">
        <v>5718198</v>
      </c>
      <c r="X9" s="1">
        <v>1428677</v>
      </c>
      <c r="Y9" s="1">
        <v>84813</v>
      </c>
      <c r="Z9" s="1">
        <v>-3028</v>
      </c>
      <c r="AA9" s="1">
        <v>5490045</v>
      </c>
      <c r="AB9" s="1">
        <v>1395464</v>
      </c>
      <c r="AC9" s="1">
        <v>87066</v>
      </c>
      <c r="AD9" s="1">
        <v>8546</v>
      </c>
      <c r="AE9" s="1">
        <v>5740718</v>
      </c>
      <c r="AF9" s="1">
        <v>1468146</v>
      </c>
      <c r="AG9" s="1">
        <v>86854</v>
      </c>
      <c r="AH9" s="1">
        <v>2187</v>
      </c>
      <c r="AI9">
        <v>-9.24</v>
      </c>
      <c r="AJ9">
        <v>-2.79</v>
      </c>
      <c r="AK9">
        <v>-15.48</v>
      </c>
    </row>
    <row r="10" spans="1:37" x14ac:dyDescent="0.2">
      <c r="A10" t="s">
        <v>51</v>
      </c>
      <c r="B10">
        <v>1086230</v>
      </c>
      <c r="C10" s="1">
        <v>806.7</v>
      </c>
      <c r="D10" s="1">
        <v>36051</v>
      </c>
      <c r="E10" t="s">
        <v>38</v>
      </c>
      <c r="G10" s="1">
        <v>117861</v>
      </c>
      <c r="H10" s="1">
        <v>110804</v>
      </c>
      <c r="I10" s="1">
        <v>4158</v>
      </c>
      <c r="J10" s="1">
        <v>-42611</v>
      </c>
      <c r="K10" s="1">
        <v>162966</v>
      </c>
      <c r="L10" s="1">
        <v>155649</v>
      </c>
      <c r="M10" s="1">
        <v>4675</v>
      </c>
      <c r="N10" s="1">
        <v>-18967</v>
      </c>
      <c r="S10" s="1">
        <v>112142</v>
      </c>
      <c r="T10" s="1">
        <v>104835</v>
      </c>
      <c r="U10" s="1">
        <v>2529</v>
      </c>
      <c r="V10" s="1">
        <v>-4852</v>
      </c>
      <c r="AA10" s="1">
        <v>117861</v>
      </c>
      <c r="AB10" s="1">
        <v>110804</v>
      </c>
      <c r="AC10" s="1">
        <v>1715</v>
      </c>
      <c r="AD10" s="1">
        <v>-28060</v>
      </c>
      <c r="AI10">
        <v>0.1</v>
      </c>
      <c r="AJ10">
        <v>14.66</v>
      </c>
      <c r="AK10">
        <v>-69.150000000000006</v>
      </c>
    </row>
    <row r="11" spans="1:37" x14ac:dyDescent="0.2">
      <c r="A11" t="s">
        <v>52</v>
      </c>
      <c r="B11">
        <v>1139617</v>
      </c>
      <c r="C11" s="1">
        <v>541.6</v>
      </c>
      <c r="D11" s="1">
        <v>297942</v>
      </c>
      <c r="E11" t="s">
        <v>53</v>
      </c>
      <c r="G11" s="1">
        <v>672884</v>
      </c>
      <c r="H11" s="1">
        <v>197227</v>
      </c>
      <c r="I11" s="1">
        <v>326018</v>
      </c>
      <c r="J11" s="1">
        <v>11354</v>
      </c>
      <c r="K11" s="1">
        <v>691638</v>
      </c>
      <c r="L11" s="1">
        <v>186760</v>
      </c>
      <c r="M11" s="1">
        <v>341185</v>
      </c>
      <c r="N11" s="1">
        <v>-27647</v>
      </c>
      <c r="O11" s="1">
        <v>657340</v>
      </c>
      <c r="P11" s="1">
        <v>211019</v>
      </c>
      <c r="Q11" s="1">
        <v>98439</v>
      </c>
      <c r="R11" s="1">
        <v>7916</v>
      </c>
      <c r="S11" s="1">
        <v>654166</v>
      </c>
      <c r="T11" s="1">
        <v>208860</v>
      </c>
      <c r="U11" s="1">
        <v>89040</v>
      </c>
      <c r="V11" s="1">
        <v>4937</v>
      </c>
      <c r="W11" s="1">
        <v>665588</v>
      </c>
      <c r="X11" s="1">
        <v>203898</v>
      </c>
      <c r="Y11" s="1">
        <v>90396</v>
      </c>
      <c r="Z11" s="1">
        <v>6632</v>
      </c>
      <c r="AA11" s="1">
        <v>672884</v>
      </c>
      <c r="AB11" s="1">
        <v>197227</v>
      </c>
      <c r="AC11" s="1">
        <v>90940</v>
      </c>
      <c r="AD11" s="1">
        <v>443</v>
      </c>
      <c r="AE11" s="1">
        <v>684429</v>
      </c>
      <c r="AF11" s="1">
        <v>198762</v>
      </c>
      <c r="AG11" s="1">
        <v>86216</v>
      </c>
      <c r="AH11" s="1">
        <v>5290</v>
      </c>
      <c r="AI11">
        <v>21.9</v>
      </c>
      <c r="AJ11">
        <v>47.61</v>
      </c>
      <c r="AK11">
        <v>7.06</v>
      </c>
    </row>
    <row r="12" spans="1:37" x14ac:dyDescent="0.2">
      <c r="A12" t="s">
        <v>54</v>
      </c>
      <c r="B12">
        <v>1105907</v>
      </c>
      <c r="C12" s="1">
        <v>363.1</v>
      </c>
      <c r="D12" s="1">
        <v>99896</v>
      </c>
      <c r="E12" t="s">
        <v>38</v>
      </c>
      <c r="G12" s="1">
        <v>68976</v>
      </c>
      <c r="H12" s="1">
        <v>55330</v>
      </c>
      <c r="I12" s="1">
        <v>14022</v>
      </c>
      <c r="J12" s="1">
        <v>-14267</v>
      </c>
      <c r="K12" s="1">
        <v>75328</v>
      </c>
      <c r="L12" s="1">
        <v>59056</v>
      </c>
      <c r="M12" s="1">
        <v>2192</v>
      </c>
      <c r="N12" s="1">
        <v>-26532</v>
      </c>
      <c r="S12" s="1">
        <v>62084</v>
      </c>
      <c r="T12" s="1">
        <v>49307</v>
      </c>
      <c r="U12" s="1">
        <v>6253</v>
      </c>
      <c r="V12" s="1">
        <v>-7364</v>
      </c>
      <c r="AA12" s="1">
        <v>68976</v>
      </c>
      <c r="AB12" s="1">
        <v>55330</v>
      </c>
      <c r="AC12" s="1">
        <v>5315</v>
      </c>
      <c r="AD12" s="1">
        <v>-8943</v>
      </c>
      <c r="AI12">
        <v>4.3899999999999997</v>
      </c>
      <c r="AJ12">
        <v>-27.16</v>
      </c>
      <c r="AK12">
        <v>-16.2</v>
      </c>
    </row>
    <row r="13" spans="1:37" x14ac:dyDescent="0.2">
      <c r="A13" t="s">
        <v>55</v>
      </c>
      <c r="B13">
        <v>1082965</v>
      </c>
      <c r="C13" s="1">
        <v>2845</v>
      </c>
      <c r="D13" s="1">
        <v>807077</v>
      </c>
      <c r="E13" t="s">
        <v>56</v>
      </c>
      <c r="G13" s="1">
        <v>1225030.97</v>
      </c>
      <c r="H13" s="1">
        <v>699545.67</v>
      </c>
      <c r="I13" s="1">
        <v>883215.89</v>
      </c>
      <c r="J13" s="1">
        <v>55839.22</v>
      </c>
      <c r="K13" s="1">
        <v>1224174.19</v>
      </c>
      <c r="L13" s="1">
        <v>682282.24</v>
      </c>
      <c r="M13" s="1">
        <v>886377.16</v>
      </c>
      <c r="N13" s="1">
        <v>31845.06</v>
      </c>
      <c r="O13" s="1">
        <v>1096944.02</v>
      </c>
      <c r="P13" s="1">
        <v>574384.43999999994</v>
      </c>
      <c r="Q13" s="1">
        <v>203474.38</v>
      </c>
      <c r="R13" s="1">
        <v>9031.99</v>
      </c>
      <c r="S13" s="1">
        <v>1145913.5</v>
      </c>
      <c r="T13" s="1">
        <v>634188.9</v>
      </c>
      <c r="U13" s="1">
        <v>205955.01</v>
      </c>
      <c r="V13" s="1">
        <v>1031.83</v>
      </c>
      <c r="W13" s="1">
        <v>1228706.03</v>
      </c>
      <c r="X13" s="1">
        <v>691191.06</v>
      </c>
      <c r="Y13" s="1">
        <v>224470.53</v>
      </c>
      <c r="Z13" s="1">
        <v>14931.49</v>
      </c>
      <c r="AA13" s="1">
        <v>1225030.97</v>
      </c>
      <c r="AB13" s="1">
        <v>699545.67</v>
      </c>
      <c r="AC13" s="1">
        <v>224487.44</v>
      </c>
      <c r="AD13" s="1">
        <v>24708.43</v>
      </c>
      <c r="AE13" s="1">
        <v>1211066.44</v>
      </c>
      <c r="AF13" s="1">
        <v>693376.75</v>
      </c>
      <c r="AG13" s="1">
        <v>223501.53</v>
      </c>
      <c r="AH13" s="1">
        <v>9939.09</v>
      </c>
      <c r="AI13">
        <v>-7.24</v>
      </c>
      <c r="AJ13">
        <v>-11.66</v>
      </c>
      <c r="AK13">
        <v>-53.09</v>
      </c>
    </row>
    <row r="14" spans="1:37" x14ac:dyDescent="0.2">
      <c r="A14" t="s">
        <v>57</v>
      </c>
      <c r="B14">
        <v>1083419</v>
      </c>
      <c r="C14" s="1">
        <v>1419</v>
      </c>
      <c r="D14" s="1">
        <v>104561</v>
      </c>
      <c r="E14" t="s">
        <v>58</v>
      </c>
      <c r="G14" s="1">
        <v>93778.96</v>
      </c>
      <c r="H14" s="1">
        <v>26287.58</v>
      </c>
      <c r="I14" s="1">
        <v>82531.61</v>
      </c>
      <c r="J14" s="1">
        <v>159917.31</v>
      </c>
      <c r="K14" s="1">
        <v>20481.669999999998</v>
      </c>
      <c r="L14" s="1">
        <v>19128.8</v>
      </c>
      <c r="N14" s="1">
        <v>126.95</v>
      </c>
      <c r="S14" s="1">
        <v>68957.399999999994</v>
      </c>
      <c r="T14" s="1">
        <v>-15656.2</v>
      </c>
      <c r="U14" s="1">
        <v>30671.71</v>
      </c>
      <c r="V14" s="1">
        <v>-26079.05</v>
      </c>
      <c r="AA14" s="1">
        <v>93778.96</v>
      </c>
      <c r="AB14" s="1">
        <v>26287.58</v>
      </c>
      <c r="AC14" s="1">
        <v>47363.59</v>
      </c>
      <c r="AD14" s="1">
        <v>4948.9799999999996</v>
      </c>
      <c r="AI14">
        <v>-30.64</v>
      </c>
      <c r="AJ14">
        <v>16.559999999999999</v>
      </c>
      <c r="AK14">
        <v>17.329999999999998</v>
      </c>
    </row>
    <row r="15" spans="1:37" x14ac:dyDescent="0.2">
      <c r="A15" t="s">
        <v>59</v>
      </c>
      <c r="B15">
        <v>1101450</v>
      </c>
      <c r="C15" s="1">
        <v>29</v>
      </c>
      <c r="D15" s="1">
        <v>27869</v>
      </c>
      <c r="E15" t="s">
        <v>38</v>
      </c>
      <c r="G15" s="1">
        <v>44794</v>
      </c>
      <c r="H15" s="1">
        <v>39307</v>
      </c>
      <c r="J15" s="1">
        <v>-8752</v>
      </c>
      <c r="K15" s="1">
        <v>59169</v>
      </c>
      <c r="L15" s="1">
        <v>53423</v>
      </c>
      <c r="N15" s="1">
        <v>1422</v>
      </c>
      <c r="S15" s="1">
        <v>37565</v>
      </c>
      <c r="T15" s="1">
        <v>32307</v>
      </c>
      <c r="V15" s="1">
        <v>-7000</v>
      </c>
      <c r="AA15" s="1">
        <v>44794</v>
      </c>
      <c r="AB15" s="1">
        <v>39307</v>
      </c>
      <c r="AD15" s="1">
        <v>-5368</v>
      </c>
      <c r="AI15">
        <v>-8.39</v>
      </c>
      <c r="AJ15">
        <v>-14.74</v>
      </c>
      <c r="AK15">
        <v>-1.99</v>
      </c>
    </row>
    <row r="16" spans="1:37" x14ac:dyDescent="0.2">
      <c r="A16" t="s">
        <v>60</v>
      </c>
      <c r="B16">
        <v>1080522</v>
      </c>
      <c r="C16" s="1">
        <v>1547</v>
      </c>
      <c r="D16" s="1">
        <v>89358</v>
      </c>
      <c r="E16" t="s">
        <v>38</v>
      </c>
      <c r="G16" s="1">
        <v>499302</v>
      </c>
      <c r="H16" s="1">
        <v>101013</v>
      </c>
      <c r="I16" s="1">
        <v>8802</v>
      </c>
      <c r="J16" s="1">
        <v>-45456</v>
      </c>
      <c r="K16" s="1">
        <v>202714</v>
      </c>
      <c r="L16" s="1">
        <v>143720</v>
      </c>
      <c r="M16" s="1">
        <v>6521</v>
      </c>
      <c r="N16" s="1">
        <v>-4518</v>
      </c>
      <c r="S16" s="1">
        <v>519560</v>
      </c>
      <c r="T16" s="1">
        <v>95585</v>
      </c>
      <c r="U16" s="1">
        <v>8178</v>
      </c>
      <c r="V16" s="1">
        <v>-12484</v>
      </c>
      <c r="AA16" s="1">
        <v>499302</v>
      </c>
      <c r="AB16" s="1">
        <v>101013</v>
      </c>
      <c r="AC16" s="1">
        <v>5345</v>
      </c>
      <c r="AD16" s="1">
        <v>-23105</v>
      </c>
      <c r="AI16">
        <v>0.25</v>
      </c>
      <c r="AJ16">
        <v>67.02</v>
      </c>
      <c r="AK16">
        <v>-22.6</v>
      </c>
    </row>
    <row r="17" spans="1:37" x14ac:dyDescent="0.2">
      <c r="A17" t="s">
        <v>61</v>
      </c>
      <c r="B17">
        <v>1094986</v>
      </c>
      <c r="C17" s="1">
        <v>342.4</v>
      </c>
      <c r="D17" s="1">
        <v>358170</v>
      </c>
      <c r="E17" t="s">
        <v>62</v>
      </c>
      <c r="G17" s="1">
        <v>435762</v>
      </c>
      <c r="H17" s="1">
        <v>220578</v>
      </c>
      <c r="I17" s="1">
        <v>82997</v>
      </c>
      <c r="J17" s="1">
        <v>30864</v>
      </c>
      <c r="K17" s="1">
        <v>372340</v>
      </c>
      <c r="L17" s="1">
        <v>210411</v>
      </c>
      <c r="M17" s="1">
        <v>92349</v>
      </c>
      <c r="N17" s="1">
        <v>26377</v>
      </c>
      <c r="O17" s="1">
        <v>504637</v>
      </c>
      <c r="P17" s="1">
        <v>236130</v>
      </c>
      <c r="Q17" s="1">
        <v>25462</v>
      </c>
      <c r="R17" s="1">
        <v>10609</v>
      </c>
      <c r="S17" s="1">
        <v>484433</v>
      </c>
      <c r="T17" s="1">
        <v>230821</v>
      </c>
      <c r="U17" s="1">
        <v>25100</v>
      </c>
      <c r="V17" s="1">
        <v>10709</v>
      </c>
      <c r="W17" s="1">
        <v>470700</v>
      </c>
      <c r="X17" s="1">
        <v>224412</v>
      </c>
      <c r="Y17" s="1">
        <v>22579</v>
      </c>
      <c r="Z17" s="1">
        <v>8684</v>
      </c>
      <c r="AA17" s="1">
        <v>435762</v>
      </c>
      <c r="AB17" s="1">
        <v>220578</v>
      </c>
      <c r="AC17" s="1">
        <v>21948</v>
      </c>
      <c r="AD17" s="1">
        <v>9728</v>
      </c>
      <c r="AE17" s="1">
        <v>432541</v>
      </c>
      <c r="AF17" s="1">
        <v>219759</v>
      </c>
      <c r="AG17" s="1">
        <v>21441</v>
      </c>
      <c r="AH17" s="1">
        <v>7906</v>
      </c>
      <c r="AI17">
        <v>10.93</v>
      </c>
      <c r="AJ17">
        <v>93.09</v>
      </c>
      <c r="AK17">
        <v>110.07</v>
      </c>
    </row>
    <row r="18" spans="1:37" x14ac:dyDescent="0.2">
      <c r="A18" t="s">
        <v>63</v>
      </c>
      <c r="B18">
        <v>265017</v>
      </c>
      <c r="C18" s="1">
        <v>4126</v>
      </c>
      <c r="D18" s="1">
        <v>1048163</v>
      </c>
      <c r="E18" t="s">
        <v>64</v>
      </c>
      <c r="G18" s="1">
        <v>435211.11</v>
      </c>
      <c r="H18" s="1">
        <v>287474.78000000003</v>
      </c>
      <c r="I18" s="1">
        <v>255468.71</v>
      </c>
      <c r="J18" s="1">
        <v>42841.31</v>
      </c>
      <c r="K18" s="1">
        <v>436603.76</v>
      </c>
      <c r="L18" s="1">
        <v>290207.15999999997</v>
      </c>
      <c r="M18" s="1">
        <v>228540.9</v>
      </c>
      <c r="N18" s="1">
        <v>35921.81</v>
      </c>
      <c r="O18" s="1">
        <v>445116.53</v>
      </c>
      <c r="P18" s="1">
        <v>293166.15999999997</v>
      </c>
      <c r="Q18" s="1">
        <v>72014.600000000006</v>
      </c>
      <c r="R18" s="1">
        <v>11213.95</v>
      </c>
      <c r="S18" s="1">
        <v>434482.2</v>
      </c>
      <c r="T18" s="1">
        <v>287560.78999999998</v>
      </c>
      <c r="U18" s="1">
        <v>66010.27</v>
      </c>
      <c r="V18" s="1">
        <v>9107.77</v>
      </c>
      <c r="W18" s="1">
        <v>475368.6</v>
      </c>
      <c r="X18" s="1">
        <v>306073.19</v>
      </c>
      <c r="Y18" s="1">
        <v>68255.039999999994</v>
      </c>
      <c r="Z18" s="1">
        <v>12113.24</v>
      </c>
      <c r="AA18" s="1">
        <v>435211.11</v>
      </c>
      <c r="AB18" s="1">
        <v>287474.78000000003</v>
      </c>
      <c r="AC18" s="1">
        <v>73629.279999999999</v>
      </c>
      <c r="AD18" s="1">
        <v>13121.91</v>
      </c>
      <c r="AE18" s="1">
        <v>463293.67</v>
      </c>
      <c r="AF18" s="1">
        <v>329722.53999999998</v>
      </c>
      <c r="AG18" s="1">
        <v>67800.25</v>
      </c>
      <c r="AH18" s="1">
        <v>10822.07</v>
      </c>
      <c r="AI18">
        <v>0.27</v>
      </c>
      <c r="AJ18">
        <v>59.31</v>
      </c>
      <c r="AK18">
        <v>145.13</v>
      </c>
    </row>
    <row r="19" spans="1:37" x14ac:dyDescent="0.2">
      <c r="A19" t="s">
        <v>65</v>
      </c>
      <c r="B19">
        <v>1220755</v>
      </c>
      <c r="C19" s="1">
        <v>951.2</v>
      </c>
      <c r="D19" s="1">
        <v>1343389</v>
      </c>
      <c r="E19" t="s">
        <v>66</v>
      </c>
      <c r="G19" s="1">
        <v>990594</v>
      </c>
      <c r="H19" s="1">
        <v>331935</v>
      </c>
      <c r="I19" s="1">
        <v>952357</v>
      </c>
      <c r="J19" s="1">
        <v>110392</v>
      </c>
      <c r="K19" s="1">
        <v>517517</v>
      </c>
      <c r="L19" s="1">
        <v>161385</v>
      </c>
      <c r="M19" s="1">
        <v>459802</v>
      </c>
      <c r="N19" s="1">
        <v>26907</v>
      </c>
      <c r="O19" s="1">
        <v>1246036</v>
      </c>
      <c r="P19" s="1">
        <v>570993</v>
      </c>
      <c r="Q19" s="1">
        <v>242473</v>
      </c>
      <c r="R19" s="1">
        <v>8596</v>
      </c>
      <c r="S19" s="1">
        <v>1186507</v>
      </c>
      <c r="T19" s="1">
        <v>562120</v>
      </c>
      <c r="U19" s="1">
        <v>227502</v>
      </c>
      <c r="V19" s="1">
        <v>18029</v>
      </c>
      <c r="W19" s="1">
        <v>979104</v>
      </c>
      <c r="X19" s="1">
        <v>343947</v>
      </c>
      <c r="Y19" s="1">
        <v>219693</v>
      </c>
      <c r="Z19" s="1">
        <v>11743</v>
      </c>
      <c r="AA19" s="1">
        <v>990594</v>
      </c>
      <c r="AB19" s="1">
        <v>331935</v>
      </c>
      <c r="AC19" s="1">
        <v>303018</v>
      </c>
      <c r="AD19" s="1">
        <v>50281</v>
      </c>
      <c r="AE19" s="1">
        <v>885995</v>
      </c>
      <c r="AF19" s="1">
        <v>306915</v>
      </c>
      <c r="AG19" s="1">
        <v>217437</v>
      </c>
      <c r="AH19" s="1">
        <v>16302</v>
      </c>
      <c r="AI19">
        <v>-14.1</v>
      </c>
      <c r="AJ19">
        <v>0</v>
      </c>
      <c r="AK19">
        <v>0</v>
      </c>
    </row>
    <row r="20" spans="1:37" x14ac:dyDescent="0.2">
      <c r="A20" t="s">
        <v>67</v>
      </c>
      <c r="B20">
        <v>1104496</v>
      </c>
      <c r="C20" s="1">
        <v>127.5</v>
      </c>
      <c r="D20" s="1">
        <v>118965</v>
      </c>
      <c r="E20" t="s">
        <v>68</v>
      </c>
      <c r="G20" s="1">
        <v>143436</v>
      </c>
      <c r="H20" s="1">
        <v>50120</v>
      </c>
      <c r="I20" s="1">
        <v>182223</v>
      </c>
      <c r="J20" s="1">
        <v>8732</v>
      </c>
      <c r="K20" s="1">
        <v>132708</v>
      </c>
      <c r="L20" s="1">
        <v>41222</v>
      </c>
      <c r="M20" s="1">
        <v>164669</v>
      </c>
      <c r="N20" s="1">
        <v>6262</v>
      </c>
      <c r="O20" s="1">
        <v>146773</v>
      </c>
      <c r="P20" s="1">
        <v>62592</v>
      </c>
      <c r="Q20" s="1">
        <v>50664</v>
      </c>
      <c r="R20" s="1">
        <v>3643</v>
      </c>
      <c r="S20" s="1">
        <v>147840</v>
      </c>
      <c r="T20" s="1">
        <v>58949</v>
      </c>
      <c r="U20" s="1">
        <v>50116</v>
      </c>
      <c r="V20" s="1">
        <v>6893</v>
      </c>
      <c r="W20" s="1">
        <v>146090</v>
      </c>
      <c r="X20" s="1">
        <v>52066</v>
      </c>
      <c r="Y20" s="1">
        <v>48473</v>
      </c>
      <c r="Z20" s="1">
        <v>1936</v>
      </c>
      <c r="AA20" s="1">
        <v>143436</v>
      </c>
      <c r="AB20" s="1">
        <v>50120</v>
      </c>
      <c r="AC20" s="1">
        <v>50130</v>
      </c>
      <c r="AD20" s="1">
        <v>3332</v>
      </c>
      <c r="AE20" s="1">
        <v>137187</v>
      </c>
      <c r="AF20" s="1">
        <v>46622</v>
      </c>
      <c r="AG20" s="1">
        <v>47695</v>
      </c>
      <c r="AH20" s="1">
        <v>1319</v>
      </c>
      <c r="AI20">
        <v>6.21</v>
      </c>
      <c r="AJ20">
        <v>82.42</v>
      </c>
      <c r="AK20">
        <v>139.77000000000001</v>
      </c>
    </row>
    <row r="21" spans="1:37" x14ac:dyDescent="0.2">
      <c r="A21" t="s">
        <v>69</v>
      </c>
      <c r="B21">
        <v>1176619</v>
      </c>
      <c r="C21" s="1">
        <v>90</v>
      </c>
      <c r="D21" s="1">
        <v>15735</v>
      </c>
      <c r="E21" t="s">
        <v>70</v>
      </c>
      <c r="G21" s="1">
        <v>8967.9699999999993</v>
      </c>
      <c r="H21" s="1">
        <v>2724.31</v>
      </c>
      <c r="I21" s="1">
        <v>357.41</v>
      </c>
      <c r="J21" s="1">
        <v>49497.09</v>
      </c>
      <c r="K21" s="1">
        <v>9310.51</v>
      </c>
      <c r="L21" s="1">
        <v>-51655.74</v>
      </c>
      <c r="M21" s="1">
        <v>4559.1400000000003</v>
      </c>
      <c r="N21" s="1">
        <v>-70915.11</v>
      </c>
      <c r="S21" s="1">
        <v>8885.2199999999993</v>
      </c>
      <c r="T21" s="1">
        <v>2963.99</v>
      </c>
      <c r="U21" s="1">
        <v>283.25</v>
      </c>
      <c r="V21" s="1">
        <v>-1035.2</v>
      </c>
      <c r="AA21" s="1">
        <v>8967.9699999999993</v>
      </c>
      <c r="AB21" s="1">
        <v>2724.31</v>
      </c>
      <c r="AC21" s="1">
        <v>357.41</v>
      </c>
      <c r="AD21" s="1">
        <v>-2414.31</v>
      </c>
      <c r="AI21">
        <v>-30.23</v>
      </c>
      <c r="AJ21">
        <v>-39.799999999999997</v>
      </c>
      <c r="AK21">
        <v>-80.260000000000005</v>
      </c>
    </row>
    <row r="22" spans="1:37" x14ac:dyDescent="0.2">
      <c r="A22" t="s">
        <v>71</v>
      </c>
      <c r="B22">
        <v>1135706</v>
      </c>
      <c r="C22" s="1">
        <v>1191</v>
      </c>
      <c r="D22" s="1">
        <v>776686</v>
      </c>
      <c r="E22" t="s">
        <v>72</v>
      </c>
      <c r="G22" s="1">
        <v>1612949</v>
      </c>
      <c r="H22" s="1">
        <v>238211</v>
      </c>
      <c r="I22" s="1">
        <v>1860108</v>
      </c>
      <c r="J22" s="1">
        <v>35780</v>
      </c>
      <c r="K22" s="1">
        <v>1403935</v>
      </c>
      <c r="L22" s="1">
        <v>214495</v>
      </c>
      <c r="M22" s="1">
        <v>1518770</v>
      </c>
      <c r="N22" s="1">
        <v>24642</v>
      </c>
      <c r="S22" s="1">
        <v>1873887</v>
      </c>
      <c r="T22" s="1">
        <v>220021</v>
      </c>
      <c r="U22" s="1">
        <v>490580</v>
      </c>
      <c r="V22" s="1">
        <v>-7794</v>
      </c>
      <c r="W22" s="1">
        <v>1821387</v>
      </c>
      <c r="X22" s="1">
        <v>247079</v>
      </c>
      <c r="Y22" s="1">
        <v>501278</v>
      </c>
      <c r="Z22" s="1">
        <v>8147</v>
      </c>
      <c r="AA22" s="1">
        <v>1612949</v>
      </c>
      <c r="AB22" s="1">
        <v>238211</v>
      </c>
      <c r="AC22" s="1">
        <v>537864</v>
      </c>
      <c r="AD22" s="1">
        <v>1187</v>
      </c>
      <c r="AE22" s="1">
        <v>1544648</v>
      </c>
      <c r="AF22" s="1">
        <v>236179</v>
      </c>
      <c r="AG22" s="1">
        <v>531975</v>
      </c>
      <c r="AH22" s="1">
        <v>10840</v>
      </c>
      <c r="AI22">
        <v>21.23</v>
      </c>
      <c r="AJ22">
        <v>27.05</v>
      </c>
      <c r="AK22">
        <v>32.01</v>
      </c>
    </row>
    <row r="23" spans="1:37" x14ac:dyDescent="0.2">
      <c r="A23" t="s">
        <v>73</v>
      </c>
      <c r="B23">
        <v>1103506</v>
      </c>
      <c r="C23" s="1">
        <v>2134</v>
      </c>
      <c r="D23" s="1">
        <v>384301</v>
      </c>
      <c r="E23" t="s">
        <v>38</v>
      </c>
      <c r="G23" s="1">
        <v>1680978</v>
      </c>
      <c r="H23" s="1">
        <v>346962</v>
      </c>
      <c r="I23" s="1">
        <v>1049012</v>
      </c>
      <c r="J23" s="1">
        <v>21481</v>
      </c>
      <c r="K23" s="1">
        <v>1433473.86</v>
      </c>
      <c r="L23" s="1">
        <v>332958.61</v>
      </c>
      <c r="M23" s="1">
        <v>917101.48</v>
      </c>
      <c r="N23" s="1">
        <v>17587.32</v>
      </c>
      <c r="O23" s="1">
        <v>1669341</v>
      </c>
      <c r="P23" s="1">
        <v>369309</v>
      </c>
      <c r="Q23" s="1">
        <v>295372</v>
      </c>
      <c r="R23" s="1">
        <v>-1270</v>
      </c>
      <c r="S23" s="1">
        <v>1663119</v>
      </c>
      <c r="T23" s="1">
        <v>369718</v>
      </c>
      <c r="U23" s="1">
        <v>267123</v>
      </c>
      <c r="V23" s="1">
        <v>-2134</v>
      </c>
      <c r="W23" s="1">
        <v>1693267</v>
      </c>
      <c r="X23" s="1">
        <v>371580</v>
      </c>
      <c r="Y23" s="1">
        <v>273117</v>
      </c>
      <c r="Z23" s="1">
        <v>-523</v>
      </c>
      <c r="AA23" s="1">
        <v>1680978</v>
      </c>
      <c r="AB23" s="1">
        <v>346962</v>
      </c>
      <c r="AC23" s="1">
        <v>270815</v>
      </c>
      <c r="AD23" s="1">
        <v>-567</v>
      </c>
      <c r="AE23" s="1">
        <v>1474128</v>
      </c>
      <c r="AF23" s="1">
        <v>354741</v>
      </c>
      <c r="AG23" s="1">
        <v>280374</v>
      </c>
      <c r="AH23" s="1">
        <v>-7976</v>
      </c>
      <c r="AI23">
        <v>-14.19</v>
      </c>
      <c r="AJ23">
        <v>11.2</v>
      </c>
      <c r="AK23">
        <v>-27.22</v>
      </c>
    </row>
    <row r="24" spans="1:37" x14ac:dyDescent="0.2">
      <c r="A24" t="s">
        <v>74</v>
      </c>
      <c r="B24">
        <v>1141324</v>
      </c>
      <c r="C24" s="1">
        <v>923.4</v>
      </c>
      <c r="D24" s="1">
        <v>372490</v>
      </c>
      <c r="E24" t="s">
        <v>75</v>
      </c>
      <c r="G24" s="1">
        <v>566298.88</v>
      </c>
      <c r="H24" s="1">
        <v>533428.47</v>
      </c>
      <c r="J24" s="1">
        <v>-69511.820000000007</v>
      </c>
      <c r="K24" s="1">
        <v>799938.5</v>
      </c>
      <c r="L24" s="1">
        <v>594178.78</v>
      </c>
      <c r="M24" s="1">
        <v>4860.18</v>
      </c>
      <c r="N24" s="1">
        <v>20039.18</v>
      </c>
      <c r="O24" s="1">
        <v>728949.86</v>
      </c>
      <c r="P24" s="1">
        <v>672050.29</v>
      </c>
      <c r="R24" s="1">
        <v>159993.87</v>
      </c>
      <c r="S24" s="1">
        <v>545198.43999999994</v>
      </c>
      <c r="T24" s="1">
        <v>521071.78</v>
      </c>
      <c r="V24" s="1">
        <v>44807.14</v>
      </c>
      <c r="W24" s="1">
        <v>548549.99</v>
      </c>
      <c r="X24" s="1">
        <v>523539.01</v>
      </c>
      <c r="Y24" s="1">
        <v>7436</v>
      </c>
      <c r="Z24" s="1">
        <v>-28412.959999999999</v>
      </c>
      <c r="AA24" s="1">
        <v>566298.88</v>
      </c>
      <c r="AB24" s="1">
        <v>533428.47</v>
      </c>
      <c r="AD24" s="1">
        <v>-37159.279999999999</v>
      </c>
      <c r="AE24" s="1">
        <v>612450.52</v>
      </c>
      <c r="AF24" s="1">
        <v>580396.12</v>
      </c>
      <c r="AH24" s="1">
        <v>-72786.490000000005</v>
      </c>
      <c r="AI24">
        <v>30.45</v>
      </c>
      <c r="AJ24">
        <v>10.19</v>
      </c>
      <c r="AK24">
        <v>-64.959999999999994</v>
      </c>
    </row>
    <row r="25" spans="1:37" x14ac:dyDescent="0.2">
      <c r="A25" t="s">
        <v>76</v>
      </c>
      <c r="B25">
        <v>1096106</v>
      </c>
      <c r="C25" s="1">
        <v>7842</v>
      </c>
      <c r="D25" s="1">
        <v>1154618</v>
      </c>
      <c r="E25" t="s">
        <v>77</v>
      </c>
      <c r="G25" s="1">
        <v>249127</v>
      </c>
      <c r="H25" s="1">
        <v>248617</v>
      </c>
      <c r="I25" s="1">
        <v>160</v>
      </c>
      <c r="J25" s="1">
        <v>93260</v>
      </c>
      <c r="K25" s="1">
        <v>213976</v>
      </c>
      <c r="L25" s="1">
        <v>213560</v>
      </c>
      <c r="M25" s="1">
        <v>361</v>
      </c>
      <c r="N25" s="1">
        <v>73000</v>
      </c>
      <c r="S25" s="1">
        <v>259074</v>
      </c>
      <c r="T25" s="1">
        <v>258503</v>
      </c>
      <c r="U25" s="1">
        <v>331</v>
      </c>
      <c r="V25" s="1">
        <v>26357</v>
      </c>
      <c r="W25" s="1">
        <v>275608</v>
      </c>
      <c r="X25" s="1">
        <v>255146</v>
      </c>
      <c r="Y25" s="1">
        <v>570</v>
      </c>
      <c r="Z25" s="1">
        <v>26529</v>
      </c>
      <c r="AA25" s="1">
        <v>249127</v>
      </c>
      <c r="AB25" s="1">
        <v>248617</v>
      </c>
      <c r="AC25" s="1">
        <v>59</v>
      </c>
      <c r="AD25" s="1">
        <v>24031</v>
      </c>
      <c r="AE25" s="1">
        <v>240736</v>
      </c>
      <c r="AF25" s="1">
        <v>240301</v>
      </c>
      <c r="AG25" s="1">
        <v>30</v>
      </c>
      <c r="AH25" s="1">
        <v>24424</v>
      </c>
      <c r="AI25">
        <v>-2.23</v>
      </c>
      <c r="AJ25">
        <v>18.68</v>
      </c>
      <c r="AK25">
        <v>92.63</v>
      </c>
    </row>
    <row r="26" spans="1:37" x14ac:dyDescent="0.2">
      <c r="A26" t="s">
        <v>78</v>
      </c>
      <c r="B26">
        <v>1176114</v>
      </c>
      <c r="C26" s="1">
        <v>2428</v>
      </c>
      <c r="D26" s="1">
        <v>536817</v>
      </c>
      <c r="E26" t="s">
        <v>79</v>
      </c>
      <c r="G26" s="1">
        <v>738006</v>
      </c>
      <c r="H26" s="1">
        <v>258224</v>
      </c>
      <c r="I26" s="1">
        <v>556164</v>
      </c>
      <c r="J26" s="1">
        <v>33518</v>
      </c>
      <c r="K26" s="1">
        <v>485841</v>
      </c>
      <c r="L26" s="1">
        <v>247020</v>
      </c>
      <c r="M26" s="1">
        <v>354791</v>
      </c>
      <c r="N26" s="1">
        <v>26581</v>
      </c>
      <c r="O26" s="1">
        <v>797328</v>
      </c>
      <c r="P26" s="1">
        <v>248552</v>
      </c>
      <c r="Q26" s="1">
        <v>165085</v>
      </c>
      <c r="R26" s="1">
        <v>10515</v>
      </c>
      <c r="S26" s="1">
        <v>743161</v>
      </c>
      <c r="T26" s="1">
        <v>248314</v>
      </c>
      <c r="U26" s="1">
        <v>143679</v>
      </c>
      <c r="V26" s="1">
        <v>8011</v>
      </c>
      <c r="W26" s="1">
        <v>808293</v>
      </c>
      <c r="X26" s="1">
        <v>259576</v>
      </c>
      <c r="Y26" s="1">
        <v>164588</v>
      </c>
      <c r="Z26" s="1">
        <v>9279</v>
      </c>
      <c r="AA26" s="1">
        <v>738006</v>
      </c>
      <c r="AB26" s="1">
        <v>258224</v>
      </c>
      <c r="AC26" s="1">
        <v>171929</v>
      </c>
      <c r="AD26" s="1">
        <v>10039</v>
      </c>
      <c r="AE26" s="1">
        <v>712647</v>
      </c>
      <c r="AF26" s="1">
        <v>257216</v>
      </c>
      <c r="AG26" s="1">
        <v>183899</v>
      </c>
      <c r="AH26" s="1">
        <v>9211</v>
      </c>
      <c r="AI26">
        <v>13.33</v>
      </c>
      <c r="AJ26">
        <v>71.150000000000006</v>
      </c>
      <c r="AK26">
        <v>34.64</v>
      </c>
    </row>
    <row r="27" spans="1:37" x14ac:dyDescent="0.2">
      <c r="A27" t="s">
        <v>80</v>
      </c>
      <c r="B27">
        <v>1084482</v>
      </c>
      <c r="C27" s="1">
        <v>1157</v>
      </c>
      <c r="D27" s="1">
        <v>359899</v>
      </c>
      <c r="E27" t="s">
        <v>81</v>
      </c>
      <c r="G27" s="1">
        <v>212935</v>
      </c>
      <c r="H27" s="1">
        <v>195257</v>
      </c>
      <c r="I27" s="1">
        <v>42656</v>
      </c>
      <c r="J27" s="1">
        <v>18332</v>
      </c>
      <c r="K27" s="1">
        <v>199166</v>
      </c>
      <c r="L27" s="1">
        <v>185393</v>
      </c>
      <c r="M27" s="1">
        <v>27507</v>
      </c>
      <c r="N27" s="1">
        <v>8268</v>
      </c>
      <c r="O27" s="1">
        <v>241679</v>
      </c>
      <c r="P27" s="1">
        <v>205404</v>
      </c>
      <c r="Q27" s="1">
        <v>31055</v>
      </c>
      <c r="R27" s="1">
        <v>13820</v>
      </c>
      <c r="S27" s="1">
        <v>229200</v>
      </c>
      <c r="T27" s="1">
        <v>199537</v>
      </c>
      <c r="U27" s="1">
        <v>20793</v>
      </c>
      <c r="V27" s="1">
        <v>8842</v>
      </c>
      <c r="W27" s="1">
        <v>215327</v>
      </c>
      <c r="X27" s="1">
        <v>199042</v>
      </c>
      <c r="Y27" s="1">
        <v>18001</v>
      </c>
      <c r="Z27" s="1">
        <v>9575</v>
      </c>
      <c r="AA27" s="1">
        <v>212935</v>
      </c>
      <c r="AB27" s="1">
        <v>195257</v>
      </c>
      <c r="AC27" s="1">
        <v>15181</v>
      </c>
      <c r="AD27" s="1">
        <v>6602</v>
      </c>
      <c r="AE27" s="1">
        <v>202206</v>
      </c>
      <c r="AF27" s="1">
        <v>190179</v>
      </c>
      <c r="AG27" s="1">
        <v>7118</v>
      </c>
      <c r="AH27" s="1">
        <v>2503</v>
      </c>
      <c r="AI27">
        <v>12.58</v>
      </c>
      <c r="AJ27">
        <v>88.68</v>
      </c>
      <c r="AK27">
        <v>82.84</v>
      </c>
    </row>
    <row r="28" spans="1:37" x14ac:dyDescent="0.2">
      <c r="A28" t="s">
        <v>82</v>
      </c>
      <c r="B28">
        <v>1142538</v>
      </c>
      <c r="C28" s="1">
        <v>99.9</v>
      </c>
      <c r="D28" s="1">
        <v>309341</v>
      </c>
    </row>
    <row r="29" spans="1:37" x14ac:dyDescent="0.2">
      <c r="A29" t="s">
        <v>83</v>
      </c>
      <c r="B29">
        <v>1176346</v>
      </c>
      <c r="C29" s="1">
        <v>325.3</v>
      </c>
      <c r="D29" s="1">
        <v>45957</v>
      </c>
      <c r="E29" t="s">
        <v>38</v>
      </c>
      <c r="G29" s="1">
        <v>16265.62</v>
      </c>
      <c r="H29" s="1">
        <v>-36353.300000000003</v>
      </c>
      <c r="I29" s="1">
        <v>55893.919999999998</v>
      </c>
      <c r="J29" s="1">
        <v>-22815.63</v>
      </c>
      <c r="K29" s="1">
        <v>27042.91</v>
      </c>
      <c r="L29" s="1">
        <v>-14761.89</v>
      </c>
      <c r="M29" s="1">
        <v>60759.51</v>
      </c>
      <c r="N29" s="1">
        <v>-24841.32</v>
      </c>
      <c r="S29" s="1">
        <v>13761.13</v>
      </c>
      <c r="T29" s="1">
        <v>-39624.370000000003</v>
      </c>
      <c r="U29" s="1">
        <v>27144.6</v>
      </c>
      <c r="V29" s="1">
        <v>-10857.84</v>
      </c>
      <c r="AA29" s="1">
        <v>16265.62</v>
      </c>
      <c r="AB29" s="1">
        <v>-36353.300000000003</v>
      </c>
      <c r="AC29" s="1">
        <v>27943.31</v>
      </c>
      <c r="AD29" s="1">
        <v>-9901.61</v>
      </c>
      <c r="AI29">
        <v>-23.62</v>
      </c>
      <c r="AJ29">
        <v>-16.690000000000001</v>
      </c>
      <c r="AK29">
        <v>-1.82</v>
      </c>
    </row>
    <row r="30" spans="1:37" x14ac:dyDescent="0.2">
      <c r="A30" t="s">
        <v>84</v>
      </c>
      <c r="B30">
        <v>1173343</v>
      </c>
      <c r="C30" s="1">
        <v>134.19999999999999</v>
      </c>
      <c r="D30" s="1">
        <v>7410</v>
      </c>
      <c r="E30" t="s">
        <v>38</v>
      </c>
      <c r="G30" s="1">
        <v>39592</v>
      </c>
      <c r="H30" s="1">
        <v>39301</v>
      </c>
      <c r="J30" s="1">
        <v>-338</v>
      </c>
      <c r="K30" s="1">
        <v>39908</v>
      </c>
      <c r="L30" s="1">
        <v>39639</v>
      </c>
      <c r="N30" s="1">
        <v>-6987</v>
      </c>
      <c r="S30" s="1">
        <v>40214</v>
      </c>
      <c r="T30" s="1">
        <v>39885</v>
      </c>
      <c r="V30" s="1">
        <v>584</v>
      </c>
      <c r="AA30" s="1">
        <v>39592</v>
      </c>
      <c r="AB30" s="1">
        <v>39301</v>
      </c>
      <c r="AD30" s="1">
        <v>-1917</v>
      </c>
      <c r="AI30">
        <v>-1.7</v>
      </c>
      <c r="AJ30">
        <v>55.78</v>
      </c>
      <c r="AK30">
        <v>-44.12</v>
      </c>
    </row>
    <row r="31" spans="1:37" x14ac:dyDescent="0.2">
      <c r="A31" t="s">
        <v>85</v>
      </c>
      <c r="B31">
        <v>431015</v>
      </c>
      <c r="C31" s="1">
        <v>33320</v>
      </c>
      <c r="D31" s="1">
        <v>1839316</v>
      </c>
      <c r="E31" t="s">
        <v>86</v>
      </c>
      <c r="G31" s="1">
        <v>1971769</v>
      </c>
      <c r="H31" s="1">
        <v>1633656</v>
      </c>
      <c r="I31" s="1">
        <v>55182</v>
      </c>
      <c r="J31" s="1">
        <v>153832</v>
      </c>
      <c r="K31" s="1">
        <v>1812117</v>
      </c>
      <c r="L31" s="1">
        <v>1502990</v>
      </c>
      <c r="M31" s="1">
        <v>51963</v>
      </c>
      <c r="N31" s="1">
        <v>65715</v>
      </c>
      <c r="O31" s="1">
        <v>2004240</v>
      </c>
      <c r="P31" s="1">
        <v>1671893</v>
      </c>
      <c r="Q31" s="1">
        <v>16021</v>
      </c>
      <c r="R31" s="1">
        <v>25387</v>
      </c>
      <c r="S31" s="1">
        <v>1976658</v>
      </c>
      <c r="T31" s="1">
        <v>1647957</v>
      </c>
      <c r="U31" s="1">
        <v>15417</v>
      </c>
      <c r="V31" s="1">
        <v>35775</v>
      </c>
      <c r="W31" s="1">
        <v>1975001</v>
      </c>
      <c r="X31" s="1">
        <v>1645723</v>
      </c>
      <c r="Y31" s="1">
        <v>15182</v>
      </c>
      <c r="Z31" s="1">
        <v>15038</v>
      </c>
      <c r="AA31" s="1">
        <v>1971769</v>
      </c>
      <c r="AB31" s="1">
        <v>1633656</v>
      </c>
      <c r="AC31" s="1">
        <v>15064</v>
      </c>
      <c r="AD31" s="1">
        <v>89362</v>
      </c>
      <c r="AE31" s="1">
        <v>1865701</v>
      </c>
      <c r="AF31" s="1">
        <v>1549761</v>
      </c>
      <c r="AG31" s="1">
        <v>14363</v>
      </c>
      <c r="AH31" s="1">
        <v>38578</v>
      </c>
      <c r="AI31">
        <v>15.91</v>
      </c>
      <c r="AJ31">
        <v>38.299999999999997</v>
      </c>
      <c r="AK31">
        <v>29.35</v>
      </c>
    </row>
    <row r="32" spans="1:37" x14ac:dyDescent="0.2">
      <c r="A32" t="s">
        <v>87</v>
      </c>
      <c r="B32">
        <v>1177450</v>
      </c>
      <c r="C32" s="1">
        <v>193</v>
      </c>
      <c r="D32" s="1">
        <v>28510</v>
      </c>
      <c r="E32" t="s">
        <v>38</v>
      </c>
      <c r="G32" s="1">
        <v>9780</v>
      </c>
      <c r="H32" s="1">
        <v>4684</v>
      </c>
      <c r="I32" s="1">
        <v>10089</v>
      </c>
      <c r="J32" s="1">
        <v>-6257</v>
      </c>
      <c r="K32" s="1">
        <v>15327</v>
      </c>
      <c r="L32" s="1">
        <v>10701</v>
      </c>
      <c r="M32" s="1">
        <v>10050</v>
      </c>
      <c r="N32" s="1">
        <v>-6777</v>
      </c>
      <c r="S32" s="1">
        <v>15175</v>
      </c>
      <c r="T32" s="1">
        <v>8871</v>
      </c>
      <c r="U32" s="1">
        <v>4939</v>
      </c>
      <c r="V32" s="1">
        <v>-3203</v>
      </c>
      <c r="AA32" s="1">
        <v>9780</v>
      </c>
      <c r="AB32" s="1">
        <v>4684</v>
      </c>
      <c r="AC32" s="1">
        <v>5994</v>
      </c>
      <c r="AD32" s="1">
        <v>-2716</v>
      </c>
      <c r="AI32">
        <v>-12.98</v>
      </c>
      <c r="AJ32">
        <v>42.11</v>
      </c>
      <c r="AK32">
        <v>-56.41</v>
      </c>
    </row>
    <row r="33" spans="1:37" x14ac:dyDescent="0.2">
      <c r="A33" t="s">
        <v>88</v>
      </c>
      <c r="B33">
        <v>209015</v>
      </c>
      <c r="C33" s="1">
        <v>9420</v>
      </c>
      <c r="D33" s="1">
        <v>2565483</v>
      </c>
      <c r="E33" t="s">
        <v>89</v>
      </c>
      <c r="G33" s="1">
        <v>16832796</v>
      </c>
      <c r="H33" s="1">
        <v>1092745</v>
      </c>
      <c r="J33" s="1">
        <v>251228</v>
      </c>
      <c r="K33" s="1">
        <v>17676202</v>
      </c>
      <c r="L33" s="1">
        <v>768232</v>
      </c>
      <c r="N33" s="1">
        <v>84910</v>
      </c>
      <c r="S33" s="1">
        <v>18017461</v>
      </c>
      <c r="T33" s="1">
        <v>1263753</v>
      </c>
      <c r="V33" s="1">
        <v>144288</v>
      </c>
      <c r="W33" s="1">
        <v>17212759</v>
      </c>
      <c r="X33" s="1">
        <v>1119465</v>
      </c>
      <c r="Z33" s="1">
        <v>56720</v>
      </c>
      <c r="AA33" s="1">
        <v>16832796</v>
      </c>
      <c r="AB33" s="1">
        <v>1092745</v>
      </c>
      <c r="AD33" s="1">
        <v>123572</v>
      </c>
      <c r="AE33" s="1">
        <v>19113547</v>
      </c>
      <c r="AF33" s="1">
        <v>950251</v>
      </c>
      <c r="AH33" s="1">
        <v>23583</v>
      </c>
      <c r="AI33">
        <v>27.91</v>
      </c>
      <c r="AJ33">
        <v>259.25</v>
      </c>
      <c r="AK33">
        <v>485.48</v>
      </c>
    </row>
    <row r="34" spans="1:37" x14ac:dyDescent="0.2">
      <c r="A34" t="s">
        <v>90</v>
      </c>
      <c r="B34">
        <v>1182484</v>
      </c>
      <c r="C34" s="1">
        <v>536</v>
      </c>
      <c r="D34" s="1">
        <v>305393</v>
      </c>
      <c r="E34" t="s">
        <v>91</v>
      </c>
      <c r="G34" s="1">
        <v>843746</v>
      </c>
      <c r="H34" s="1">
        <v>260821</v>
      </c>
      <c r="I34" s="1">
        <v>1597360</v>
      </c>
      <c r="J34" s="1">
        <v>36165</v>
      </c>
      <c r="K34" s="1">
        <v>568644</v>
      </c>
      <c r="L34" s="1">
        <v>240297</v>
      </c>
      <c r="M34" s="1">
        <v>1444095</v>
      </c>
      <c r="N34" s="1">
        <v>32732</v>
      </c>
      <c r="O34" s="1">
        <v>648989</v>
      </c>
      <c r="P34" s="1">
        <v>282550</v>
      </c>
      <c r="Q34" s="1">
        <v>382817</v>
      </c>
      <c r="R34" s="1">
        <v>8564</v>
      </c>
      <c r="S34" s="1">
        <v>635705</v>
      </c>
      <c r="T34" s="1">
        <v>273813</v>
      </c>
      <c r="U34" s="1">
        <v>365406</v>
      </c>
      <c r="V34" s="1">
        <v>6386</v>
      </c>
      <c r="W34" s="1">
        <v>671520</v>
      </c>
      <c r="X34" s="1">
        <v>267222</v>
      </c>
      <c r="Y34" s="1">
        <v>346827</v>
      </c>
      <c r="Z34" s="1">
        <v>6148</v>
      </c>
      <c r="AA34" s="1">
        <v>843746</v>
      </c>
      <c r="AB34" s="1">
        <v>260821</v>
      </c>
      <c r="AC34" s="1">
        <v>498249</v>
      </c>
      <c r="AD34" s="1">
        <v>14461</v>
      </c>
      <c r="AE34" s="1">
        <v>618262</v>
      </c>
      <c r="AF34" s="1">
        <v>246133</v>
      </c>
      <c r="AG34" s="1">
        <v>334692</v>
      </c>
      <c r="AH34" s="1">
        <v>4802</v>
      </c>
      <c r="AI34">
        <v>-6.3</v>
      </c>
      <c r="AJ34">
        <v>26.49</v>
      </c>
      <c r="AK34">
        <v>-2.5499999999999998</v>
      </c>
    </row>
    <row r="35" spans="1:37" x14ac:dyDescent="0.2">
      <c r="A35" t="s">
        <v>92</v>
      </c>
      <c r="B35">
        <v>1173376</v>
      </c>
      <c r="C35" s="1">
        <v>45.7</v>
      </c>
      <c r="D35" s="1">
        <v>18327</v>
      </c>
      <c r="E35" t="s">
        <v>38</v>
      </c>
      <c r="G35" s="1">
        <v>53421</v>
      </c>
      <c r="H35" s="1">
        <v>23677</v>
      </c>
      <c r="I35" s="1">
        <v>45315</v>
      </c>
      <c r="J35" s="1">
        <v>-5455</v>
      </c>
      <c r="K35" s="1">
        <v>56418</v>
      </c>
      <c r="L35" s="1">
        <v>28891</v>
      </c>
      <c r="M35" s="1">
        <v>16263</v>
      </c>
      <c r="N35" s="1">
        <v>-20044</v>
      </c>
      <c r="S35" s="1">
        <v>42680</v>
      </c>
      <c r="T35" s="1">
        <v>19706</v>
      </c>
      <c r="U35" s="1">
        <v>19409</v>
      </c>
      <c r="V35" s="1">
        <v>-3523</v>
      </c>
      <c r="AA35" s="1">
        <v>53421</v>
      </c>
      <c r="AB35" s="1">
        <v>23677</v>
      </c>
      <c r="AC35" s="1">
        <v>24832</v>
      </c>
      <c r="AD35" s="1">
        <v>-2232</v>
      </c>
      <c r="AI35">
        <v>-15.23</v>
      </c>
      <c r="AJ35">
        <v>34.299999999999997</v>
      </c>
      <c r="AK35">
        <v>-49.2</v>
      </c>
    </row>
    <row r="36" spans="1:37" x14ac:dyDescent="0.2">
      <c r="A36" t="s">
        <v>93</v>
      </c>
      <c r="B36">
        <v>1080753</v>
      </c>
      <c r="C36" s="1">
        <v>6324</v>
      </c>
      <c r="D36" s="1">
        <v>707536</v>
      </c>
      <c r="E36" t="s">
        <v>94</v>
      </c>
      <c r="G36" s="1">
        <v>994067</v>
      </c>
      <c r="H36" s="1">
        <v>646487</v>
      </c>
      <c r="I36" s="1">
        <v>920371</v>
      </c>
      <c r="J36" s="1">
        <v>38981</v>
      </c>
      <c r="K36" s="1">
        <v>1016111</v>
      </c>
      <c r="L36" s="1">
        <v>623506</v>
      </c>
      <c r="M36" s="1">
        <v>916247</v>
      </c>
      <c r="N36" s="1">
        <v>50885</v>
      </c>
      <c r="S36" s="1">
        <v>947256</v>
      </c>
      <c r="T36" s="1">
        <v>660357</v>
      </c>
      <c r="U36" s="1">
        <v>219314</v>
      </c>
      <c r="V36" s="1">
        <v>16923</v>
      </c>
      <c r="W36" s="1">
        <v>987086</v>
      </c>
      <c r="X36" s="1">
        <v>646408</v>
      </c>
      <c r="Y36" s="1">
        <v>238260</v>
      </c>
      <c r="Z36" s="1">
        <v>9111</v>
      </c>
      <c r="AA36" s="1">
        <v>994067</v>
      </c>
      <c r="AB36" s="1">
        <v>646487</v>
      </c>
      <c r="AC36" s="1">
        <v>229901</v>
      </c>
      <c r="AD36" s="1">
        <v>6614</v>
      </c>
      <c r="AE36" s="1">
        <v>1007769</v>
      </c>
      <c r="AF36" s="1">
        <v>641829</v>
      </c>
      <c r="AG36" s="1">
        <v>240099</v>
      </c>
      <c r="AH36" s="1">
        <v>12958</v>
      </c>
      <c r="AI36">
        <v>6.53</v>
      </c>
      <c r="AJ36">
        <v>-6.44</v>
      </c>
      <c r="AK36">
        <v>-25.53</v>
      </c>
    </row>
    <row r="37" spans="1:37" x14ac:dyDescent="0.2">
      <c r="A37" t="s">
        <v>95</v>
      </c>
      <c r="B37">
        <v>1183813</v>
      </c>
      <c r="C37" s="1">
        <v>1134</v>
      </c>
      <c r="D37" s="1">
        <v>697774</v>
      </c>
      <c r="E37" t="s">
        <v>38</v>
      </c>
      <c r="G37" s="1">
        <v>847271.06</v>
      </c>
      <c r="H37" s="1">
        <v>581784.04</v>
      </c>
      <c r="I37" s="1">
        <v>211536.95</v>
      </c>
      <c r="J37" s="1">
        <v>-30302.92</v>
      </c>
      <c r="K37" s="1">
        <v>978901.94</v>
      </c>
      <c r="L37" s="1">
        <v>606655.66</v>
      </c>
      <c r="M37" s="1">
        <v>159272.46</v>
      </c>
      <c r="N37" s="1">
        <v>16948.97</v>
      </c>
      <c r="O37" s="1">
        <v>746537.78</v>
      </c>
      <c r="P37" s="1">
        <v>513144.1</v>
      </c>
      <c r="Q37" s="1">
        <v>51973.63</v>
      </c>
      <c r="R37" s="1">
        <v>25505.79</v>
      </c>
      <c r="S37" s="1">
        <v>742740.32</v>
      </c>
      <c r="T37" s="1">
        <v>497231.74</v>
      </c>
      <c r="U37" s="1">
        <v>64422.06</v>
      </c>
      <c r="V37" s="1">
        <v>-13943.22</v>
      </c>
      <c r="W37" s="1">
        <v>827017.03</v>
      </c>
      <c r="X37" s="1">
        <v>563466.61</v>
      </c>
      <c r="Y37" s="1">
        <v>27981.67</v>
      </c>
      <c r="Z37" s="1">
        <v>-29967.08</v>
      </c>
      <c r="AA37" s="1">
        <v>847271.06</v>
      </c>
      <c r="AB37" s="1">
        <v>581784.04</v>
      </c>
      <c r="AC37" s="1">
        <v>80040.710000000006</v>
      </c>
      <c r="AD37" s="1">
        <v>-2913.95</v>
      </c>
      <c r="AE37" s="1">
        <v>882286.24</v>
      </c>
      <c r="AF37" s="1">
        <v>594334.59</v>
      </c>
      <c r="AG37" s="1">
        <v>55739.040000000001</v>
      </c>
      <c r="AH37" s="1">
        <v>-3502.24</v>
      </c>
      <c r="AI37">
        <v>-7.8</v>
      </c>
      <c r="AJ37">
        <v>-26.1</v>
      </c>
      <c r="AK37">
        <v>-21.22</v>
      </c>
    </row>
    <row r="38" spans="1:37" x14ac:dyDescent="0.2">
      <c r="A38" t="s">
        <v>96</v>
      </c>
      <c r="B38">
        <v>1171230</v>
      </c>
      <c r="C38" s="1">
        <v>109.8</v>
      </c>
      <c r="D38" s="1">
        <v>7494</v>
      </c>
      <c r="E38" t="s">
        <v>38</v>
      </c>
      <c r="G38" s="1">
        <v>27888.61</v>
      </c>
      <c r="H38" s="1">
        <v>27480.15</v>
      </c>
      <c r="I38" s="1">
        <v>149.53</v>
      </c>
      <c r="J38" s="1">
        <v>-2097.0300000000002</v>
      </c>
      <c r="K38" s="1">
        <v>29930</v>
      </c>
      <c r="L38" s="1">
        <v>29414.97</v>
      </c>
      <c r="M38" s="1">
        <v>-3416.63</v>
      </c>
      <c r="N38" s="1">
        <v>-6419.79</v>
      </c>
      <c r="S38" s="1">
        <v>29009.32</v>
      </c>
      <c r="T38" s="1">
        <v>28452.94</v>
      </c>
      <c r="U38" s="1">
        <v>2215.4</v>
      </c>
      <c r="V38" s="1">
        <v>1318.45</v>
      </c>
      <c r="AA38" s="1">
        <v>27888.61</v>
      </c>
      <c r="AB38" s="1">
        <v>27480.15</v>
      </c>
      <c r="AC38" s="1">
        <v>587.16999999999996</v>
      </c>
      <c r="AD38" s="1">
        <v>-743.99</v>
      </c>
      <c r="AI38">
        <v>-26.27</v>
      </c>
      <c r="AJ38">
        <v>9.9700000000000006</v>
      </c>
      <c r="AK38">
        <v>-37.35</v>
      </c>
    </row>
    <row r="39" spans="1:37" x14ac:dyDescent="0.2">
      <c r="A39" t="s">
        <v>97</v>
      </c>
      <c r="B39">
        <v>282012</v>
      </c>
      <c r="C39" s="1">
        <v>5944</v>
      </c>
      <c r="D39" s="1">
        <v>299365</v>
      </c>
      <c r="E39" t="s">
        <v>98</v>
      </c>
      <c r="G39" s="1">
        <v>331671</v>
      </c>
      <c r="H39" s="1">
        <v>117149</v>
      </c>
      <c r="I39" s="1">
        <v>303062</v>
      </c>
      <c r="J39" s="1">
        <v>24944</v>
      </c>
      <c r="K39" s="1">
        <v>229602</v>
      </c>
      <c r="L39" s="1">
        <v>95779</v>
      </c>
      <c r="M39" s="1">
        <v>266316</v>
      </c>
      <c r="N39" s="1">
        <v>6205</v>
      </c>
      <c r="S39" s="1">
        <v>307293</v>
      </c>
      <c r="T39" s="1">
        <v>109429</v>
      </c>
      <c r="U39" s="1">
        <v>158499</v>
      </c>
      <c r="V39" s="1">
        <v>5830</v>
      </c>
      <c r="AA39" s="1">
        <v>331671</v>
      </c>
      <c r="AB39" s="1">
        <v>117149</v>
      </c>
      <c r="AC39" s="1">
        <v>174972</v>
      </c>
      <c r="AD39" s="1">
        <v>19663</v>
      </c>
      <c r="AI39">
        <v>-34.630000000000003</v>
      </c>
      <c r="AJ39">
        <v>97.96</v>
      </c>
      <c r="AK39">
        <v>395.82</v>
      </c>
    </row>
    <row r="40" spans="1:37" x14ac:dyDescent="0.2">
      <c r="A40" t="s">
        <v>99</v>
      </c>
      <c r="B40">
        <v>1080928</v>
      </c>
      <c r="C40" s="1">
        <v>228.4</v>
      </c>
      <c r="D40" s="1">
        <v>99970</v>
      </c>
      <c r="E40" t="s">
        <v>38</v>
      </c>
      <c r="G40" s="1">
        <v>462421</v>
      </c>
      <c r="H40" s="1">
        <v>117350</v>
      </c>
      <c r="I40" s="1">
        <v>691335</v>
      </c>
      <c r="J40" s="1">
        <v>-38683</v>
      </c>
      <c r="K40" s="1">
        <v>541726</v>
      </c>
      <c r="L40" s="1">
        <v>118981</v>
      </c>
      <c r="M40" s="1">
        <v>733403</v>
      </c>
      <c r="N40" s="1">
        <v>-36048</v>
      </c>
      <c r="S40" s="1">
        <v>443399</v>
      </c>
      <c r="T40" s="1">
        <v>110275</v>
      </c>
      <c r="U40" s="1">
        <v>173850</v>
      </c>
      <c r="V40" s="1">
        <v>-6583</v>
      </c>
      <c r="W40" s="1">
        <v>450543</v>
      </c>
      <c r="X40" s="1">
        <v>116853</v>
      </c>
      <c r="Y40" s="1">
        <v>175506</v>
      </c>
      <c r="Z40" s="1">
        <v>-802</v>
      </c>
      <c r="AA40" s="1">
        <v>462421</v>
      </c>
      <c r="AB40" s="1">
        <v>117350</v>
      </c>
      <c r="AC40" s="1">
        <v>171817</v>
      </c>
      <c r="AD40" s="1">
        <v>-21564</v>
      </c>
      <c r="AE40" s="1">
        <v>494125</v>
      </c>
      <c r="AF40" s="1">
        <v>138036</v>
      </c>
      <c r="AG40" s="1">
        <v>167220</v>
      </c>
      <c r="AH40" s="1">
        <v>-11888</v>
      </c>
      <c r="AI40">
        <v>-14.37</v>
      </c>
      <c r="AJ40">
        <v>-10.67</v>
      </c>
      <c r="AK40">
        <v>-63.67</v>
      </c>
    </row>
    <row r="41" spans="1:37" x14ac:dyDescent="0.2">
      <c r="A41" t="s">
        <v>100</v>
      </c>
      <c r="B41">
        <v>174011</v>
      </c>
      <c r="C41" s="1">
        <v>8118</v>
      </c>
      <c r="D41" s="1">
        <v>167163</v>
      </c>
      <c r="E41" t="s">
        <v>101</v>
      </c>
      <c r="G41" s="1">
        <v>327544</v>
      </c>
      <c r="H41" s="1">
        <v>257413</v>
      </c>
      <c r="I41" s="1">
        <v>19006</v>
      </c>
      <c r="J41" s="1">
        <v>9441</v>
      </c>
      <c r="K41" s="1">
        <v>370515</v>
      </c>
      <c r="L41" s="1">
        <v>248958</v>
      </c>
      <c r="M41" s="1">
        <v>19051</v>
      </c>
      <c r="N41" s="1">
        <v>9318</v>
      </c>
      <c r="S41" s="1">
        <v>328428</v>
      </c>
      <c r="T41" s="1">
        <v>260374</v>
      </c>
      <c r="U41" s="1">
        <v>9581</v>
      </c>
      <c r="V41" s="1">
        <v>3976</v>
      </c>
      <c r="AA41" s="1">
        <v>327544</v>
      </c>
      <c r="AB41" s="1">
        <v>257413</v>
      </c>
      <c r="AC41" s="1">
        <v>9533</v>
      </c>
      <c r="AD41" s="1">
        <v>5633</v>
      </c>
      <c r="AI41">
        <v>12.36</v>
      </c>
      <c r="AJ41">
        <v>26.73</v>
      </c>
      <c r="AK41">
        <v>7.58</v>
      </c>
    </row>
    <row r="42" spans="1:37" x14ac:dyDescent="0.2">
      <c r="A42" t="s">
        <v>102</v>
      </c>
      <c r="B42">
        <v>1106376</v>
      </c>
      <c r="C42" s="1">
        <v>440.5</v>
      </c>
      <c r="D42" s="1">
        <v>240871</v>
      </c>
      <c r="E42" t="s">
        <v>38</v>
      </c>
      <c r="G42" s="1">
        <v>762574</v>
      </c>
      <c r="H42" s="1">
        <v>396969</v>
      </c>
      <c r="I42" s="1">
        <v>238845</v>
      </c>
      <c r="J42" s="1">
        <v>-67795</v>
      </c>
      <c r="K42" s="1">
        <v>786614</v>
      </c>
      <c r="L42" s="1">
        <v>455112</v>
      </c>
      <c r="M42" s="1">
        <v>355553</v>
      </c>
      <c r="N42" s="1">
        <v>-61959</v>
      </c>
      <c r="S42" s="1">
        <v>751763</v>
      </c>
      <c r="T42" s="1">
        <v>431147</v>
      </c>
      <c r="U42" s="1">
        <v>130011</v>
      </c>
      <c r="V42" s="1">
        <v>-1704</v>
      </c>
      <c r="AA42" s="1">
        <v>762574</v>
      </c>
      <c r="AB42" s="1">
        <v>396969</v>
      </c>
      <c r="AC42" s="1">
        <v>113112</v>
      </c>
      <c r="AD42" s="1">
        <v>-69228</v>
      </c>
      <c r="AI42">
        <v>-22.44</v>
      </c>
      <c r="AJ42">
        <v>-16.010000000000002</v>
      </c>
      <c r="AK42">
        <v>-74.64</v>
      </c>
    </row>
    <row r="43" spans="1:37" x14ac:dyDescent="0.2">
      <c r="A43" t="s">
        <v>103</v>
      </c>
      <c r="B43">
        <v>1081074</v>
      </c>
      <c r="C43" s="1">
        <v>10700</v>
      </c>
      <c r="D43" s="1">
        <v>1886911</v>
      </c>
      <c r="E43" t="s">
        <v>104</v>
      </c>
      <c r="G43" s="1">
        <v>3808763</v>
      </c>
      <c r="H43" s="1">
        <v>1457799</v>
      </c>
      <c r="I43" s="1">
        <v>417445</v>
      </c>
      <c r="J43" s="1">
        <v>97262</v>
      </c>
      <c r="K43" s="1">
        <v>3508620</v>
      </c>
      <c r="L43" s="1">
        <v>1402419</v>
      </c>
      <c r="M43" s="1">
        <v>406150</v>
      </c>
      <c r="N43" s="1">
        <v>127205</v>
      </c>
      <c r="O43" s="1">
        <v>4102021</v>
      </c>
      <c r="P43" s="1">
        <v>1609081</v>
      </c>
      <c r="Q43" s="1">
        <v>226838</v>
      </c>
      <c r="R43" s="1">
        <v>116789</v>
      </c>
      <c r="S43" s="1">
        <v>3887459</v>
      </c>
      <c r="T43" s="1">
        <v>1455269</v>
      </c>
      <c r="U43" s="1">
        <v>111979</v>
      </c>
      <c r="V43" s="1">
        <v>6012</v>
      </c>
      <c r="W43" s="1">
        <v>4041981</v>
      </c>
      <c r="X43" s="1">
        <v>1454186</v>
      </c>
      <c r="Y43" s="1">
        <v>93822</v>
      </c>
      <c r="Z43" s="1">
        <v>23455</v>
      </c>
      <c r="AA43" s="1">
        <v>3808763</v>
      </c>
      <c r="AB43" s="1">
        <v>1457799</v>
      </c>
      <c r="AC43" s="1">
        <v>109420</v>
      </c>
      <c r="AD43" s="1">
        <v>26686</v>
      </c>
      <c r="AE43" s="1">
        <v>3758623</v>
      </c>
      <c r="AF43" s="1">
        <v>1453199</v>
      </c>
      <c r="AG43" s="1">
        <v>161989</v>
      </c>
      <c r="AH43" s="1">
        <v>35051</v>
      </c>
      <c r="AI43">
        <v>-4.45</v>
      </c>
      <c r="AJ43">
        <v>16.37</v>
      </c>
      <c r="AK43">
        <v>12.36</v>
      </c>
    </row>
    <row r="44" spans="1:37" x14ac:dyDescent="0.2">
      <c r="A44" t="s">
        <v>105</v>
      </c>
      <c r="B44">
        <v>363010</v>
      </c>
      <c r="C44" s="1">
        <v>29.2</v>
      </c>
      <c r="D44" s="1">
        <v>27875</v>
      </c>
      <c r="E44" t="s">
        <v>38</v>
      </c>
      <c r="G44" s="1">
        <v>39091</v>
      </c>
      <c r="H44" s="1">
        <v>28748</v>
      </c>
      <c r="I44" s="1">
        <v>14450</v>
      </c>
      <c r="J44" s="1">
        <v>-22798</v>
      </c>
      <c r="K44" s="1">
        <v>59509</v>
      </c>
      <c r="L44" s="1">
        <v>42278</v>
      </c>
      <c r="M44" s="1">
        <v>33868</v>
      </c>
      <c r="N44" s="1">
        <v>-545</v>
      </c>
      <c r="S44" s="1">
        <v>32762</v>
      </c>
      <c r="T44" s="1">
        <v>21675</v>
      </c>
      <c r="U44" s="1">
        <v>6058</v>
      </c>
      <c r="V44" s="1">
        <v>-6621</v>
      </c>
      <c r="AA44" s="1">
        <v>39091</v>
      </c>
      <c r="AB44" s="1">
        <v>28748</v>
      </c>
      <c r="AC44" s="1">
        <v>7824</v>
      </c>
      <c r="AD44" s="1">
        <v>-17109</v>
      </c>
      <c r="AI44">
        <v>-6.79</v>
      </c>
      <c r="AJ44">
        <v>-60.26</v>
      </c>
      <c r="AK44">
        <v>-42.37</v>
      </c>
    </row>
    <row r="45" spans="1:37" x14ac:dyDescent="0.2">
      <c r="A45" t="s">
        <v>106</v>
      </c>
      <c r="B45">
        <v>1083856</v>
      </c>
      <c r="C45" s="1">
        <v>277.2</v>
      </c>
      <c r="D45" s="1">
        <v>198736</v>
      </c>
      <c r="E45" t="s">
        <v>107</v>
      </c>
      <c r="G45" s="1">
        <v>126955.72</v>
      </c>
      <c r="H45" s="1">
        <v>96102.1</v>
      </c>
      <c r="I45" s="1">
        <v>116062.13</v>
      </c>
      <c r="J45" s="1">
        <v>21079.66</v>
      </c>
      <c r="K45" s="1">
        <v>72779.38</v>
      </c>
      <c r="L45" s="1">
        <v>47807.49</v>
      </c>
      <c r="M45" s="1">
        <v>96191.67</v>
      </c>
      <c r="N45" s="1">
        <v>-20039.18</v>
      </c>
      <c r="S45" s="1">
        <v>120633.3</v>
      </c>
      <c r="T45" s="1">
        <v>98209.5</v>
      </c>
      <c r="U45" s="1">
        <v>29643.25</v>
      </c>
      <c r="V45" s="1">
        <v>967.76</v>
      </c>
      <c r="W45" s="1">
        <v>127873.17</v>
      </c>
      <c r="X45" s="1">
        <v>102687.44</v>
      </c>
      <c r="Y45" s="1">
        <v>26520.49</v>
      </c>
      <c r="Z45" s="1">
        <v>1516.94</v>
      </c>
      <c r="AA45" s="1">
        <v>126955.72</v>
      </c>
      <c r="AB45" s="1">
        <v>96102.1</v>
      </c>
      <c r="AC45" s="1">
        <v>26878.39</v>
      </c>
      <c r="AD45" s="1">
        <v>1611.97</v>
      </c>
      <c r="AE45" s="1">
        <v>123435.41</v>
      </c>
      <c r="AF45" s="1">
        <v>92653.54</v>
      </c>
      <c r="AG45" s="1">
        <v>26689.74</v>
      </c>
      <c r="AH45" s="1">
        <v>15763.79</v>
      </c>
      <c r="AI45">
        <v>-50.28</v>
      </c>
      <c r="AJ45">
        <v>-41.88</v>
      </c>
      <c r="AK45">
        <v>164.95</v>
      </c>
    </row>
    <row r="46" spans="1:37" x14ac:dyDescent="0.2">
      <c r="A46" t="s">
        <v>108</v>
      </c>
      <c r="B46">
        <v>1081116</v>
      </c>
      <c r="C46" s="1">
        <v>496</v>
      </c>
      <c r="D46" s="1">
        <v>65878</v>
      </c>
      <c r="E46" t="s">
        <v>38</v>
      </c>
      <c r="G46" s="1">
        <v>72056</v>
      </c>
      <c r="H46" s="1">
        <v>68363</v>
      </c>
      <c r="J46" s="1">
        <v>-5327</v>
      </c>
      <c r="K46" s="1">
        <v>1341</v>
      </c>
      <c r="L46" s="1">
        <v>-693</v>
      </c>
      <c r="N46" s="1">
        <v>-2637</v>
      </c>
      <c r="O46" s="1">
        <v>382982</v>
      </c>
      <c r="P46" s="1">
        <v>78548</v>
      </c>
      <c r="Q46" s="1">
        <v>23526</v>
      </c>
      <c r="R46" s="1">
        <v>-1817</v>
      </c>
      <c r="S46" s="1">
        <v>339840</v>
      </c>
      <c r="T46" s="1">
        <v>79930</v>
      </c>
      <c r="V46" s="1">
        <v>-2510</v>
      </c>
      <c r="AA46" s="1">
        <v>72056</v>
      </c>
      <c r="AB46" s="1">
        <v>68363</v>
      </c>
      <c r="AD46" s="1">
        <v>-3647</v>
      </c>
      <c r="AI46">
        <v>-32.380000000000003</v>
      </c>
      <c r="AJ46">
        <v>-12.29</v>
      </c>
      <c r="AK46">
        <v>-2.79</v>
      </c>
    </row>
    <row r="47" spans="1:37" x14ac:dyDescent="0.2">
      <c r="A47" t="s">
        <v>109</v>
      </c>
      <c r="B47">
        <v>474015</v>
      </c>
      <c r="C47" s="1">
        <v>20.2</v>
      </c>
      <c r="D47" s="1">
        <v>18325</v>
      </c>
      <c r="E47" t="s">
        <v>38</v>
      </c>
      <c r="G47" s="1">
        <v>29861.64</v>
      </c>
      <c r="H47" s="1">
        <v>29336.47</v>
      </c>
      <c r="J47" s="1">
        <v>3016.07</v>
      </c>
      <c r="K47" s="1">
        <v>26890.58</v>
      </c>
      <c r="L47" s="1">
        <v>26176.06</v>
      </c>
      <c r="N47" s="1">
        <v>-64538.84</v>
      </c>
      <c r="S47" s="1">
        <v>27306.46</v>
      </c>
      <c r="T47" s="1">
        <v>26736.59</v>
      </c>
      <c r="V47" s="1">
        <v>-387.78</v>
      </c>
      <c r="AA47" s="1">
        <v>29861.64</v>
      </c>
      <c r="AB47" s="1">
        <v>29336.47</v>
      </c>
      <c r="AD47" s="1">
        <v>1425.98</v>
      </c>
      <c r="AI47">
        <v>-28.08</v>
      </c>
      <c r="AJ47">
        <v>-5.56</v>
      </c>
      <c r="AK47">
        <v>-76.62</v>
      </c>
    </row>
    <row r="48" spans="1:37" x14ac:dyDescent="0.2">
      <c r="A48" t="s">
        <v>110</v>
      </c>
      <c r="B48">
        <v>1134881</v>
      </c>
      <c r="C48" s="1">
        <v>852.4</v>
      </c>
      <c r="D48" s="1">
        <v>862628</v>
      </c>
      <c r="E48" t="s">
        <v>111</v>
      </c>
      <c r="G48" s="1">
        <v>3298997</v>
      </c>
      <c r="H48" s="1">
        <v>838037</v>
      </c>
      <c r="I48" s="1">
        <v>1609499</v>
      </c>
      <c r="J48" s="1">
        <v>128658</v>
      </c>
      <c r="K48" s="1">
        <v>3287001</v>
      </c>
      <c r="L48" s="1">
        <v>751962</v>
      </c>
      <c r="M48" s="1">
        <v>1567682</v>
      </c>
      <c r="N48" s="1">
        <v>128218</v>
      </c>
      <c r="S48" s="1">
        <v>3646573</v>
      </c>
      <c r="T48" s="1">
        <v>849648</v>
      </c>
      <c r="U48" s="1">
        <v>400540</v>
      </c>
      <c r="V48" s="1">
        <v>14632</v>
      </c>
      <c r="W48" s="1">
        <v>3618474</v>
      </c>
      <c r="X48" s="1">
        <v>850160</v>
      </c>
      <c r="Y48" s="1">
        <v>396451</v>
      </c>
      <c r="Z48" s="1">
        <v>29098</v>
      </c>
      <c r="AA48" s="1">
        <v>3298997</v>
      </c>
      <c r="AB48" s="1">
        <v>838037</v>
      </c>
      <c r="AC48" s="1">
        <v>396496</v>
      </c>
      <c r="AD48" s="1">
        <v>42779</v>
      </c>
      <c r="AE48" s="1">
        <v>3378011</v>
      </c>
      <c r="AF48" s="1">
        <v>794911</v>
      </c>
      <c r="AG48" s="1">
        <v>409464</v>
      </c>
      <c r="AH48" s="1">
        <v>24138</v>
      </c>
      <c r="AI48">
        <v>-8.9700000000000006</v>
      </c>
      <c r="AJ48">
        <v>0</v>
      </c>
      <c r="AK48">
        <v>0</v>
      </c>
    </row>
    <row r="49" spans="1:37" x14ac:dyDescent="0.2">
      <c r="A49" t="s">
        <v>112</v>
      </c>
      <c r="B49">
        <v>1099654</v>
      </c>
      <c r="C49" s="1">
        <v>3120</v>
      </c>
      <c r="D49" s="1">
        <v>1473398</v>
      </c>
      <c r="E49" t="s">
        <v>113</v>
      </c>
      <c r="G49" s="1">
        <v>509270.74</v>
      </c>
      <c r="H49" s="1">
        <v>181638.84</v>
      </c>
      <c r="I49" s="1">
        <v>336235.17</v>
      </c>
      <c r="J49" s="1">
        <v>-21404.240000000002</v>
      </c>
      <c r="K49" s="1">
        <v>501117.21</v>
      </c>
      <c r="L49" s="1">
        <v>180490.41</v>
      </c>
      <c r="M49" s="1">
        <v>337855.06</v>
      </c>
      <c r="N49" s="1">
        <v>-227790.11</v>
      </c>
      <c r="O49" s="1">
        <v>567699.71</v>
      </c>
      <c r="P49" s="1">
        <v>362083.04</v>
      </c>
      <c r="Q49" s="1">
        <v>87294.93</v>
      </c>
      <c r="R49" s="1">
        <v>9336.14</v>
      </c>
      <c r="S49" s="1">
        <v>519463.34</v>
      </c>
      <c r="T49" s="1">
        <v>336245.72</v>
      </c>
      <c r="U49" s="1">
        <v>81099.97</v>
      </c>
      <c r="V49" s="1">
        <v>-5698.68</v>
      </c>
      <c r="W49" s="1">
        <v>521802.7</v>
      </c>
      <c r="X49" s="1">
        <v>185903.71</v>
      </c>
      <c r="Y49" s="1">
        <v>86071.7</v>
      </c>
      <c r="Z49" s="1">
        <v>-1234.3800000000001</v>
      </c>
      <c r="AA49" s="1">
        <v>509270.74</v>
      </c>
      <c r="AB49" s="1">
        <v>181638.84</v>
      </c>
      <c r="AC49" s="1">
        <v>90832.18</v>
      </c>
      <c r="AD49" s="1">
        <v>878.93</v>
      </c>
      <c r="AE49" s="1">
        <v>517374.35</v>
      </c>
      <c r="AF49" s="1">
        <v>177768.36</v>
      </c>
      <c r="AG49" s="1">
        <v>86201.85</v>
      </c>
      <c r="AH49" s="1">
        <v>-905.24</v>
      </c>
      <c r="AI49">
        <v>13.11</v>
      </c>
      <c r="AJ49">
        <v>87.97</v>
      </c>
      <c r="AK49">
        <v>132.61000000000001</v>
      </c>
    </row>
    <row r="50" spans="1:37" x14ac:dyDescent="0.2">
      <c r="A50" t="s">
        <v>114</v>
      </c>
      <c r="B50">
        <v>1181643</v>
      </c>
      <c r="C50" s="1">
        <v>78.2</v>
      </c>
      <c r="D50" s="1">
        <v>240381</v>
      </c>
      <c r="E50" t="s">
        <v>38</v>
      </c>
      <c r="G50" s="1">
        <v>563862</v>
      </c>
      <c r="H50" s="1">
        <v>441029</v>
      </c>
      <c r="I50" s="1">
        <v>74008</v>
      </c>
      <c r="J50" s="1">
        <v>42349</v>
      </c>
      <c r="K50" s="1">
        <v>510258</v>
      </c>
      <c r="L50" s="1">
        <v>398680</v>
      </c>
      <c r="M50" s="1">
        <v>100878</v>
      </c>
      <c r="N50" s="1">
        <v>64957</v>
      </c>
      <c r="S50" s="1">
        <v>582834</v>
      </c>
      <c r="T50" s="1">
        <v>420795</v>
      </c>
      <c r="U50" s="1">
        <v>-19323</v>
      </c>
      <c r="V50" s="1">
        <v>-18833</v>
      </c>
      <c r="W50" s="1">
        <v>689080</v>
      </c>
      <c r="X50" s="1">
        <v>439629</v>
      </c>
      <c r="Y50" s="1">
        <v>7428</v>
      </c>
      <c r="Z50" s="1">
        <v>-1400</v>
      </c>
      <c r="AA50" s="1">
        <v>563862</v>
      </c>
      <c r="AB50" s="1">
        <v>441029</v>
      </c>
      <c r="AC50" s="1">
        <v>11940</v>
      </c>
      <c r="AD50" s="1">
        <v>5409</v>
      </c>
      <c r="AE50" s="1">
        <v>560861</v>
      </c>
      <c r="AF50" s="1">
        <v>435620</v>
      </c>
      <c r="AG50" s="1">
        <v>6506</v>
      </c>
      <c r="AH50" s="1">
        <v>681</v>
      </c>
      <c r="AI50">
        <v>-16.27</v>
      </c>
      <c r="AJ50">
        <v>118.52</v>
      </c>
      <c r="AK50">
        <v>66.38</v>
      </c>
    </row>
    <row r="51" spans="1:37" x14ac:dyDescent="0.2">
      <c r="A51" t="s">
        <v>115</v>
      </c>
      <c r="B51">
        <v>1082635</v>
      </c>
      <c r="C51" s="1">
        <v>6322</v>
      </c>
      <c r="D51" s="1">
        <v>871145</v>
      </c>
      <c r="E51" t="s">
        <v>38</v>
      </c>
      <c r="G51" s="1">
        <v>2571138.52</v>
      </c>
      <c r="H51" s="1">
        <v>450336.57</v>
      </c>
      <c r="I51" s="1">
        <v>153628.92000000001</v>
      </c>
      <c r="J51" s="1">
        <v>-24767.71</v>
      </c>
      <c r="K51" s="1">
        <v>2458517.09</v>
      </c>
      <c r="L51" s="1">
        <v>461313.94</v>
      </c>
      <c r="M51" s="1">
        <v>195902.48</v>
      </c>
      <c r="N51" s="1">
        <v>8901.74</v>
      </c>
      <c r="S51" s="1">
        <v>2884582.7</v>
      </c>
      <c r="T51" s="1">
        <v>471226.48</v>
      </c>
      <c r="U51" s="1">
        <v>44598.83</v>
      </c>
      <c r="V51" s="1">
        <v>-30391.759999999998</v>
      </c>
      <c r="W51" s="1">
        <v>2900755.28</v>
      </c>
      <c r="X51" s="1">
        <v>481272.64</v>
      </c>
      <c r="Y51" s="1">
        <v>35634.04</v>
      </c>
      <c r="Z51" s="1">
        <v>32151.07</v>
      </c>
      <c r="AA51" s="1">
        <v>2571138.52</v>
      </c>
      <c r="AB51" s="1">
        <v>450336.57</v>
      </c>
      <c r="AC51" s="1">
        <v>32945.160000000003</v>
      </c>
      <c r="AD51" s="1">
        <v>-42496.9</v>
      </c>
      <c r="AE51" s="1">
        <v>2657573.38</v>
      </c>
      <c r="AF51" s="1">
        <v>491814.41</v>
      </c>
      <c r="AG51" s="1">
        <v>51211.55</v>
      </c>
      <c r="AH51" s="1">
        <v>25346.25</v>
      </c>
      <c r="AI51">
        <v>8.25</v>
      </c>
      <c r="AJ51">
        <v>6.03</v>
      </c>
      <c r="AK51">
        <v>13.74</v>
      </c>
    </row>
    <row r="52" spans="1:37" x14ac:dyDescent="0.2">
      <c r="A52" t="s">
        <v>116</v>
      </c>
      <c r="B52">
        <v>1184936</v>
      </c>
      <c r="C52" s="1">
        <v>865</v>
      </c>
      <c r="D52" s="1">
        <v>1715804</v>
      </c>
      <c r="E52" t="s">
        <v>117</v>
      </c>
      <c r="G52" s="1">
        <v>1209562</v>
      </c>
      <c r="H52" s="1">
        <v>549030</v>
      </c>
      <c r="I52" s="1">
        <v>921766</v>
      </c>
      <c r="J52" s="1">
        <v>113065</v>
      </c>
      <c r="K52" s="1">
        <v>1192945</v>
      </c>
      <c r="L52" s="1">
        <v>520280</v>
      </c>
      <c r="M52" s="1">
        <v>1014618</v>
      </c>
      <c r="N52" s="1">
        <v>137930</v>
      </c>
      <c r="O52" s="1">
        <v>1516201</v>
      </c>
      <c r="P52" s="1">
        <v>572456</v>
      </c>
      <c r="Q52" s="1">
        <v>234476</v>
      </c>
      <c r="R52" s="1">
        <v>28413</v>
      </c>
      <c r="S52" s="1">
        <v>1257588</v>
      </c>
      <c r="T52" s="1">
        <v>566179</v>
      </c>
      <c r="U52" s="1">
        <v>231249</v>
      </c>
      <c r="V52" s="1">
        <v>31482</v>
      </c>
      <c r="W52" s="1">
        <v>1247170</v>
      </c>
      <c r="X52" s="1">
        <v>552424</v>
      </c>
      <c r="Y52" s="1">
        <v>235281</v>
      </c>
      <c r="Z52" s="1">
        <v>23593</v>
      </c>
      <c r="AA52" s="1">
        <v>1209562</v>
      </c>
      <c r="AB52" s="1">
        <v>549030</v>
      </c>
      <c r="AC52" s="1">
        <v>230641</v>
      </c>
      <c r="AD52" s="1">
        <v>29596</v>
      </c>
      <c r="AE52" s="1">
        <v>1176761</v>
      </c>
      <c r="AF52" s="1">
        <v>539107</v>
      </c>
      <c r="AG52" s="1">
        <v>233920</v>
      </c>
      <c r="AH52" s="1">
        <v>27570</v>
      </c>
      <c r="AI52">
        <v>37.06</v>
      </c>
      <c r="AJ52">
        <v>40.72</v>
      </c>
      <c r="AK52">
        <v>52.82</v>
      </c>
    </row>
    <row r="53" spans="1:37" x14ac:dyDescent="0.2">
      <c r="A53" t="s">
        <v>118</v>
      </c>
      <c r="B53">
        <v>1168962</v>
      </c>
      <c r="C53" s="1">
        <v>161.4</v>
      </c>
      <c r="D53" s="1">
        <v>28925</v>
      </c>
      <c r="E53" t="s">
        <v>38</v>
      </c>
      <c r="G53" s="1">
        <v>84183.7</v>
      </c>
      <c r="H53" s="1">
        <v>82571.73</v>
      </c>
      <c r="I53" s="1">
        <v>-10999.35</v>
      </c>
      <c r="J53" s="1">
        <v>-15310.11</v>
      </c>
      <c r="K53" s="1">
        <v>93257.43</v>
      </c>
      <c r="L53" s="1">
        <v>91788.49</v>
      </c>
      <c r="M53" s="1">
        <v>-1059.08</v>
      </c>
      <c r="N53" s="1">
        <v>-5730.66</v>
      </c>
      <c r="S53" s="1">
        <v>73941.22</v>
      </c>
      <c r="T53" s="1">
        <v>73367.98</v>
      </c>
      <c r="U53" s="1">
        <v>-3314.68</v>
      </c>
      <c r="V53" s="1">
        <v>-4299.3</v>
      </c>
      <c r="AA53" s="1">
        <v>84183.7</v>
      </c>
      <c r="AB53" s="1">
        <v>82571.73</v>
      </c>
      <c r="AC53" s="1">
        <v>-8187.52</v>
      </c>
      <c r="AD53" s="1">
        <v>-10703.95</v>
      </c>
      <c r="AI53">
        <v>-6.48</v>
      </c>
      <c r="AJ53">
        <v>-2.44</v>
      </c>
      <c r="AK53">
        <v>2.57</v>
      </c>
    </row>
    <row r="54" spans="1:37" x14ac:dyDescent="0.2">
      <c r="A54" t="s">
        <v>119</v>
      </c>
      <c r="B54">
        <v>1136829</v>
      </c>
      <c r="C54" s="1">
        <v>1082</v>
      </c>
      <c r="D54" s="1">
        <v>519134</v>
      </c>
      <c r="E54" t="s">
        <v>120</v>
      </c>
      <c r="G54" s="1">
        <v>1385518</v>
      </c>
      <c r="H54" s="1">
        <v>241879</v>
      </c>
      <c r="I54" s="1">
        <v>298225</v>
      </c>
      <c r="J54" s="1">
        <v>1884</v>
      </c>
      <c r="K54" s="1">
        <v>1430766</v>
      </c>
      <c r="L54" s="1">
        <v>241975</v>
      </c>
      <c r="M54" s="1">
        <v>289942</v>
      </c>
      <c r="N54" s="1">
        <v>12439</v>
      </c>
      <c r="S54" s="1">
        <v>1493092</v>
      </c>
      <c r="T54" s="1">
        <v>303132</v>
      </c>
      <c r="U54" s="1">
        <v>80396</v>
      </c>
      <c r="V54" s="1">
        <v>1894</v>
      </c>
      <c r="W54" s="1">
        <v>1450006</v>
      </c>
      <c r="X54" s="1">
        <v>301398</v>
      </c>
      <c r="Y54" s="1">
        <v>75366</v>
      </c>
      <c r="Z54" s="1">
        <v>3382</v>
      </c>
      <c r="AA54" s="1">
        <v>1385518</v>
      </c>
      <c r="AB54" s="1">
        <v>241879</v>
      </c>
      <c r="AC54" s="1">
        <v>135138</v>
      </c>
      <c r="AD54" s="1">
        <v>1287</v>
      </c>
      <c r="AE54" s="1">
        <v>1386340</v>
      </c>
      <c r="AF54" s="1">
        <v>243029</v>
      </c>
      <c r="AG54" s="1">
        <v>57140</v>
      </c>
      <c r="AH54" s="1">
        <v>1503</v>
      </c>
      <c r="AI54">
        <v>-4.57</v>
      </c>
      <c r="AJ54">
        <v>9.65</v>
      </c>
      <c r="AK54">
        <v>76.33</v>
      </c>
    </row>
    <row r="55" spans="1:37" x14ac:dyDescent="0.2">
      <c r="A55" t="s">
        <v>121</v>
      </c>
      <c r="B55">
        <v>1142454</v>
      </c>
      <c r="C55" s="1">
        <v>1746</v>
      </c>
      <c r="D55" s="1">
        <v>626519</v>
      </c>
      <c r="E55" t="s">
        <v>122</v>
      </c>
      <c r="G55" s="1">
        <v>652560</v>
      </c>
      <c r="H55" s="1">
        <v>282272</v>
      </c>
      <c r="I55" s="1">
        <v>724793</v>
      </c>
      <c r="J55" s="1">
        <v>38291</v>
      </c>
      <c r="K55" s="1">
        <v>531277</v>
      </c>
      <c r="L55" s="1">
        <v>263406</v>
      </c>
      <c r="M55" s="1">
        <v>560726</v>
      </c>
      <c r="N55" s="1">
        <v>35875</v>
      </c>
      <c r="O55" s="1">
        <v>690732</v>
      </c>
      <c r="P55" s="1">
        <v>296001</v>
      </c>
      <c r="Q55" s="1">
        <v>207189</v>
      </c>
      <c r="R55" s="1">
        <v>10558</v>
      </c>
      <c r="S55" s="1">
        <v>699785</v>
      </c>
      <c r="T55" s="1">
        <v>294184</v>
      </c>
      <c r="U55" s="1">
        <v>201187</v>
      </c>
      <c r="V55" s="1">
        <v>7340</v>
      </c>
      <c r="W55" s="1">
        <v>684801</v>
      </c>
      <c r="X55" s="1">
        <v>286136</v>
      </c>
      <c r="Y55" s="1">
        <v>171765</v>
      </c>
      <c r="Z55" s="1">
        <v>11180</v>
      </c>
      <c r="AA55" s="1">
        <v>652560</v>
      </c>
      <c r="AB55" s="1">
        <v>282272</v>
      </c>
      <c r="AC55" s="1">
        <v>198882</v>
      </c>
      <c r="AD55" s="1">
        <v>5623</v>
      </c>
      <c r="AE55" s="1">
        <v>603927</v>
      </c>
      <c r="AF55" s="1">
        <v>277407</v>
      </c>
      <c r="AG55" s="1">
        <v>183322</v>
      </c>
      <c r="AH55" s="1">
        <v>10502</v>
      </c>
      <c r="AI55">
        <v>13.51</v>
      </c>
      <c r="AJ55">
        <v>51.11</v>
      </c>
      <c r="AK55">
        <v>84.31</v>
      </c>
    </row>
    <row r="56" spans="1:37" x14ac:dyDescent="0.2">
      <c r="A56" t="s">
        <v>123</v>
      </c>
      <c r="B56">
        <v>1090364</v>
      </c>
      <c r="C56" s="1">
        <v>427.3</v>
      </c>
      <c r="D56" s="1">
        <v>82996</v>
      </c>
      <c r="E56" t="s">
        <v>124</v>
      </c>
      <c r="G56" s="1">
        <v>113680</v>
      </c>
      <c r="H56" s="1">
        <v>84247</v>
      </c>
      <c r="I56" s="1">
        <v>100811</v>
      </c>
      <c r="J56" s="1">
        <v>12726</v>
      </c>
      <c r="K56" s="1">
        <v>100700</v>
      </c>
      <c r="L56" s="1">
        <v>76313</v>
      </c>
      <c r="M56" s="1">
        <v>89391</v>
      </c>
      <c r="N56" s="1">
        <v>10908</v>
      </c>
      <c r="S56" s="1">
        <v>110093</v>
      </c>
      <c r="T56" s="1">
        <v>86620</v>
      </c>
      <c r="U56" s="1">
        <v>44510</v>
      </c>
      <c r="V56" s="1">
        <v>2614</v>
      </c>
      <c r="AA56" s="1">
        <v>113680</v>
      </c>
      <c r="AB56" s="1">
        <v>84247</v>
      </c>
      <c r="AC56" s="1">
        <v>49129</v>
      </c>
      <c r="AD56" s="1">
        <v>3595</v>
      </c>
      <c r="AI56">
        <v>-23.26</v>
      </c>
      <c r="AJ56">
        <v>-44.89</v>
      </c>
      <c r="AK56">
        <v>27.07</v>
      </c>
    </row>
    <row r="57" spans="1:37" x14ac:dyDescent="0.2">
      <c r="A57" t="s">
        <v>125</v>
      </c>
      <c r="B57">
        <v>1217702</v>
      </c>
      <c r="C57" s="1">
        <v>1284</v>
      </c>
      <c r="D57" s="1">
        <v>662837</v>
      </c>
      <c r="E57" t="s">
        <v>126</v>
      </c>
      <c r="G57" s="1">
        <v>226540</v>
      </c>
      <c r="H57" s="1">
        <v>62446</v>
      </c>
      <c r="I57" s="1">
        <v>488084</v>
      </c>
      <c r="J57" s="1">
        <v>22640</v>
      </c>
      <c r="K57" s="1">
        <v>206345</v>
      </c>
      <c r="L57" s="1">
        <v>35219</v>
      </c>
      <c r="M57" s="1">
        <v>459013</v>
      </c>
      <c r="N57" s="1">
        <v>14552</v>
      </c>
      <c r="S57" s="1">
        <v>342040</v>
      </c>
      <c r="T57" s="1">
        <v>154378</v>
      </c>
      <c r="U57" s="1">
        <v>262860</v>
      </c>
      <c r="V57" s="1">
        <v>11814</v>
      </c>
      <c r="AA57" s="1">
        <v>226540</v>
      </c>
      <c r="AB57" s="1">
        <v>62446</v>
      </c>
      <c r="AC57" s="1">
        <v>252992</v>
      </c>
      <c r="AD57" s="1">
        <v>15106</v>
      </c>
      <c r="AI57">
        <v>15.89</v>
      </c>
      <c r="AJ57">
        <v>0</v>
      </c>
      <c r="AK57">
        <v>0</v>
      </c>
    </row>
    <row r="58" spans="1:37" x14ac:dyDescent="0.2">
      <c r="A58" t="s">
        <v>127</v>
      </c>
      <c r="B58">
        <v>368019</v>
      </c>
      <c r="C58" s="1">
        <v>5185</v>
      </c>
      <c r="D58" s="1">
        <v>731654</v>
      </c>
      <c r="E58" t="s">
        <v>38</v>
      </c>
      <c r="G58" s="1">
        <v>193053</v>
      </c>
      <c r="H58" s="1">
        <v>165294</v>
      </c>
      <c r="I58" s="1">
        <v>31648</v>
      </c>
      <c r="J58" s="1">
        <v>-85123</v>
      </c>
      <c r="K58" s="1">
        <v>129162</v>
      </c>
      <c r="L58" s="1">
        <v>110778</v>
      </c>
      <c r="M58" s="1">
        <v>23097</v>
      </c>
      <c r="N58" s="1">
        <v>-75833</v>
      </c>
      <c r="O58" s="1">
        <v>151595</v>
      </c>
      <c r="P58" s="1">
        <v>124650</v>
      </c>
      <c r="Q58" s="1">
        <v>5706</v>
      </c>
      <c r="R58" s="1">
        <v>-23824</v>
      </c>
      <c r="S58" s="1">
        <v>141133</v>
      </c>
      <c r="T58" s="1">
        <v>115063</v>
      </c>
      <c r="U58" s="1">
        <v>3841</v>
      </c>
      <c r="V58" s="1">
        <v>-29346</v>
      </c>
      <c r="W58" s="1">
        <v>168427</v>
      </c>
      <c r="X58" s="1">
        <v>139617</v>
      </c>
      <c r="Y58" s="1">
        <v>2296</v>
      </c>
      <c r="Z58" s="1">
        <v>-25950</v>
      </c>
      <c r="AA58" s="1">
        <v>193053</v>
      </c>
      <c r="AB58" s="1">
        <v>165294</v>
      </c>
      <c r="AC58" s="1">
        <v>1417</v>
      </c>
      <c r="AD58" s="1">
        <v>-28792</v>
      </c>
      <c r="AE58" s="1">
        <v>212793</v>
      </c>
      <c r="AF58" s="1">
        <v>186054</v>
      </c>
      <c r="AG58" s="1">
        <v>11073</v>
      </c>
      <c r="AH58" s="1">
        <v>-19273</v>
      </c>
      <c r="AI58">
        <v>20.18</v>
      </c>
      <c r="AJ58">
        <v>-71.849999999999994</v>
      </c>
      <c r="AK58">
        <v>63.47</v>
      </c>
    </row>
    <row r="59" spans="1:37" x14ac:dyDescent="0.2">
      <c r="A59" t="s">
        <v>128</v>
      </c>
      <c r="B59">
        <v>387019</v>
      </c>
      <c r="C59" s="1">
        <v>29100</v>
      </c>
      <c r="D59" s="1">
        <v>5995621</v>
      </c>
      <c r="E59" t="s">
        <v>129</v>
      </c>
      <c r="G59" s="1">
        <v>17771124</v>
      </c>
      <c r="H59" s="1">
        <v>5826003</v>
      </c>
      <c r="I59" s="1">
        <v>1238783</v>
      </c>
      <c r="J59" s="1">
        <v>299425</v>
      </c>
      <c r="K59" s="1">
        <v>17636319</v>
      </c>
      <c r="L59" s="1">
        <v>5559463</v>
      </c>
      <c r="M59" s="1">
        <v>1285405</v>
      </c>
      <c r="N59" s="1">
        <v>-209127</v>
      </c>
      <c r="O59" s="1">
        <v>19226913</v>
      </c>
      <c r="P59" s="1">
        <v>6736762</v>
      </c>
      <c r="Q59" s="1">
        <v>633934</v>
      </c>
      <c r="R59" s="1">
        <v>181513</v>
      </c>
      <c r="S59" s="1">
        <v>19261316</v>
      </c>
      <c r="T59" s="1">
        <v>6588424</v>
      </c>
      <c r="U59" s="1">
        <v>343737</v>
      </c>
      <c r="V59" s="1">
        <v>552492</v>
      </c>
      <c r="W59" s="1">
        <v>18573335</v>
      </c>
      <c r="X59" s="1">
        <v>6032510</v>
      </c>
      <c r="Y59" s="1">
        <v>269448</v>
      </c>
      <c r="Z59" s="1">
        <v>121276</v>
      </c>
      <c r="AA59" s="1">
        <v>17771124</v>
      </c>
      <c r="AB59" s="1">
        <v>5826003</v>
      </c>
      <c r="AC59" s="1">
        <v>322310</v>
      </c>
      <c r="AD59" s="1">
        <v>323056</v>
      </c>
      <c r="AE59" s="1">
        <v>18271415</v>
      </c>
      <c r="AF59" s="1">
        <v>5510009</v>
      </c>
      <c r="AG59" s="1">
        <v>344461</v>
      </c>
      <c r="AH59" s="1">
        <v>116594</v>
      </c>
      <c r="AI59">
        <v>26.68</v>
      </c>
      <c r="AJ59">
        <v>87.21</v>
      </c>
      <c r="AK59">
        <v>61.48</v>
      </c>
    </row>
    <row r="60" spans="1:37" x14ac:dyDescent="0.2">
      <c r="A60" t="s">
        <v>130</v>
      </c>
      <c r="B60">
        <v>749077</v>
      </c>
      <c r="C60" s="1">
        <v>563.1</v>
      </c>
      <c r="D60" s="1">
        <v>301426</v>
      </c>
      <c r="E60" t="s">
        <v>131</v>
      </c>
      <c r="G60" s="1">
        <v>537232.29</v>
      </c>
      <c r="H60" s="1">
        <v>403580.68</v>
      </c>
      <c r="J60" s="1">
        <v>82338.320000000007</v>
      </c>
      <c r="K60" s="1">
        <v>579670.78</v>
      </c>
      <c r="L60" s="1">
        <v>467912.03</v>
      </c>
      <c r="N60" s="1">
        <v>-29647.1</v>
      </c>
      <c r="S60" s="1">
        <v>433946.05</v>
      </c>
      <c r="T60" s="1">
        <v>339253.55</v>
      </c>
      <c r="V60" s="1">
        <v>-4697.2</v>
      </c>
      <c r="AA60" s="1">
        <v>537232.29</v>
      </c>
      <c r="AB60" s="1">
        <v>403580.68</v>
      </c>
      <c r="AD60" s="1">
        <v>79792.710000000006</v>
      </c>
      <c r="AI60">
        <v>-6.13</v>
      </c>
      <c r="AJ60">
        <v>47.48</v>
      </c>
      <c r="AK60">
        <v>33.32</v>
      </c>
    </row>
    <row r="61" spans="1:37" x14ac:dyDescent="0.2">
      <c r="A61" t="s">
        <v>132</v>
      </c>
      <c r="B61">
        <v>589010</v>
      </c>
      <c r="C61" s="1">
        <v>2738</v>
      </c>
      <c r="D61" s="1">
        <v>766606</v>
      </c>
      <c r="E61" t="s">
        <v>133</v>
      </c>
      <c r="G61" s="1">
        <v>2576648</v>
      </c>
      <c r="H61" s="1">
        <v>779957</v>
      </c>
      <c r="I61" s="1">
        <v>2064244</v>
      </c>
      <c r="J61" s="1">
        <v>59132</v>
      </c>
      <c r="K61" s="1">
        <v>2588889</v>
      </c>
      <c r="L61" s="1">
        <v>735623</v>
      </c>
      <c r="M61" s="1">
        <v>2046631</v>
      </c>
      <c r="N61" s="1">
        <v>52972</v>
      </c>
      <c r="O61" s="1">
        <v>2485485</v>
      </c>
      <c r="P61" s="1">
        <v>787976</v>
      </c>
      <c r="Q61" s="1">
        <v>550118</v>
      </c>
      <c r="R61" s="1">
        <v>11659</v>
      </c>
      <c r="S61" s="1">
        <v>2510690</v>
      </c>
      <c r="T61" s="1">
        <v>776297</v>
      </c>
      <c r="U61" s="1">
        <v>503158</v>
      </c>
      <c r="V61" s="1">
        <v>4528</v>
      </c>
      <c r="W61" s="1">
        <v>2554565</v>
      </c>
      <c r="X61" s="1">
        <v>774432</v>
      </c>
      <c r="Y61" s="1">
        <v>513861</v>
      </c>
      <c r="Z61" s="1">
        <v>10251</v>
      </c>
      <c r="AA61" s="1">
        <v>2576648</v>
      </c>
      <c r="AB61" s="1">
        <v>779957</v>
      </c>
      <c r="AC61" s="1">
        <v>537116</v>
      </c>
      <c r="AD61" s="1">
        <v>12648</v>
      </c>
      <c r="AE61" s="1">
        <v>2625511</v>
      </c>
      <c r="AF61" s="1">
        <v>767710</v>
      </c>
      <c r="AG61" s="1">
        <v>574275</v>
      </c>
      <c r="AH61" s="1">
        <v>22978</v>
      </c>
      <c r="AI61">
        <v>2.95</v>
      </c>
      <c r="AJ61">
        <v>17.27</v>
      </c>
      <c r="AK61">
        <v>11.25</v>
      </c>
    </row>
    <row r="62" spans="1:37" x14ac:dyDescent="0.2">
      <c r="A62" t="s">
        <v>134</v>
      </c>
      <c r="B62">
        <v>654012</v>
      </c>
      <c r="C62" s="1">
        <v>2121</v>
      </c>
      <c r="D62" s="1">
        <v>138466</v>
      </c>
      <c r="E62" t="s">
        <v>135</v>
      </c>
      <c r="G62" s="1">
        <v>170992</v>
      </c>
      <c r="H62" s="1">
        <v>94639</v>
      </c>
      <c r="I62" s="1">
        <v>323567</v>
      </c>
      <c r="J62" s="1">
        <v>10706</v>
      </c>
      <c r="K62" s="1">
        <v>172241</v>
      </c>
      <c r="L62" s="1">
        <v>94708</v>
      </c>
      <c r="M62" s="1">
        <v>332654</v>
      </c>
      <c r="N62" s="1">
        <v>6540</v>
      </c>
      <c r="S62" s="1">
        <v>159497</v>
      </c>
      <c r="T62" s="1">
        <v>95589</v>
      </c>
      <c r="U62" s="1">
        <v>168044</v>
      </c>
      <c r="V62" s="1">
        <v>4950</v>
      </c>
      <c r="AA62" s="1">
        <v>170992</v>
      </c>
      <c r="AB62" s="1">
        <v>94639</v>
      </c>
      <c r="AC62" s="1">
        <v>164723</v>
      </c>
      <c r="AD62" s="1">
        <v>2832</v>
      </c>
      <c r="AI62">
        <v>21.76</v>
      </c>
      <c r="AJ62">
        <v>34.590000000000003</v>
      </c>
      <c r="AK62">
        <v>42.96</v>
      </c>
    </row>
    <row r="63" spans="1:37" x14ac:dyDescent="0.2">
      <c r="A63" t="s">
        <v>136</v>
      </c>
      <c r="B63">
        <v>382010</v>
      </c>
      <c r="C63" s="1">
        <v>889.9</v>
      </c>
      <c r="D63" s="1">
        <v>394397</v>
      </c>
      <c r="E63" t="s">
        <v>137</v>
      </c>
      <c r="G63" s="1">
        <v>926257</v>
      </c>
      <c r="H63" s="1">
        <v>161537</v>
      </c>
      <c r="I63" s="1">
        <v>1452991</v>
      </c>
      <c r="J63" s="1">
        <v>25498</v>
      </c>
      <c r="K63" s="1">
        <v>876286</v>
      </c>
      <c r="L63" s="1">
        <v>150549</v>
      </c>
      <c r="M63" s="1">
        <v>1357381</v>
      </c>
      <c r="N63" s="1">
        <v>22292</v>
      </c>
      <c r="O63" s="1">
        <v>855903</v>
      </c>
      <c r="P63" s="1">
        <v>159783</v>
      </c>
      <c r="Q63" s="1">
        <v>329786</v>
      </c>
      <c r="R63" s="1">
        <v>788</v>
      </c>
      <c r="S63" s="1">
        <v>845438</v>
      </c>
      <c r="T63" s="1">
        <v>160367</v>
      </c>
      <c r="U63" s="1">
        <v>335085</v>
      </c>
      <c r="V63" s="1">
        <v>1896</v>
      </c>
      <c r="W63" s="1">
        <v>899881</v>
      </c>
      <c r="X63" s="1">
        <v>164921</v>
      </c>
      <c r="Y63" s="1">
        <v>381406</v>
      </c>
      <c r="Z63" s="1">
        <v>7304</v>
      </c>
      <c r="AA63" s="1">
        <v>926257</v>
      </c>
      <c r="AB63" s="1">
        <v>161537</v>
      </c>
      <c r="AC63" s="1">
        <v>420369</v>
      </c>
      <c r="AD63" s="1">
        <v>12236</v>
      </c>
      <c r="AE63" s="1">
        <v>832605</v>
      </c>
      <c r="AF63" s="1">
        <v>151244</v>
      </c>
      <c r="AG63" s="1">
        <v>345659</v>
      </c>
      <c r="AH63" s="1">
        <v>4078</v>
      </c>
      <c r="AI63">
        <v>0.39</v>
      </c>
      <c r="AJ63">
        <v>1.03</v>
      </c>
      <c r="AK63">
        <v>4.66</v>
      </c>
    </row>
    <row r="64" spans="1:37" x14ac:dyDescent="0.2">
      <c r="A64" t="s">
        <v>138</v>
      </c>
      <c r="B64">
        <v>180018</v>
      </c>
      <c r="C64" s="1">
        <v>2925</v>
      </c>
      <c r="D64" s="1">
        <v>156780</v>
      </c>
      <c r="E64" t="s">
        <v>38</v>
      </c>
      <c r="G64" s="1">
        <v>502778</v>
      </c>
      <c r="H64" s="1">
        <v>223199</v>
      </c>
      <c r="I64" s="1">
        <v>555735</v>
      </c>
      <c r="J64" s="1">
        <v>-23368</v>
      </c>
      <c r="K64" s="1">
        <v>525590</v>
      </c>
      <c r="L64" s="1">
        <v>246590</v>
      </c>
      <c r="M64" s="1">
        <v>540963</v>
      </c>
      <c r="N64" s="1">
        <v>-2936</v>
      </c>
      <c r="S64" s="1">
        <v>503641</v>
      </c>
      <c r="T64" s="1">
        <v>218313</v>
      </c>
      <c r="U64" s="1">
        <v>293914</v>
      </c>
      <c r="V64" s="1">
        <v>-1838</v>
      </c>
      <c r="AA64" s="1">
        <v>502778</v>
      </c>
      <c r="AB64" s="1">
        <v>223199</v>
      </c>
      <c r="AC64" s="1">
        <v>276566</v>
      </c>
      <c r="AD64" s="1">
        <v>-11089</v>
      </c>
      <c r="AI64">
        <v>-9</v>
      </c>
      <c r="AJ64">
        <v>-15.17</v>
      </c>
      <c r="AK64">
        <v>-17.66</v>
      </c>
    </row>
    <row r="65" spans="1:37" x14ac:dyDescent="0.2">
      <c r="A65" t="s">
        <v>139</v>
      </c>
      <c r="B65">
        <v>1158997</v>
      </c>
      <c r="C65" s="1">
        <v>311.60000000000002</v>
      </c>
      <c r="D65" s="1">
        <v>74342</v>
      </c>
      <c r="E65" t="s">
        <v>38</v>
      </c>
      <c r="G65" s="1">
        <v>100974.49</v>
      </c>
      <c r="H65" s="1">
        <v>86029.08</v>
      </c>
      <c r="J65" s="1">
        <v>-54756.06</v>
      </c>
      <c r="K65" s="1">
        <v>133586.04</v>
      </c>
      <c r="L65" s="1">
        <v>109114.67</v>
      </c>
      <c r="N65" s="1">
        <v>-105429.64</v>
      </c>
      <c r="O65" s="1">
        <v>69221.03</v>
      </c>
      <c r="P65" s="1">
        <v>57792.19</v>
      </c>
      <c r="R65" s="1">
        <v>-7289.73</v>
      </c>
      <c r="S65" s="1">
        <v>76200.460000000006</v>
      </c>
      <c r="T65" s="1">
        <v>64250.09</v>
      </c>
      <c r="V65" s="1">
        <v>-6298.9</v>
      </c>
      <c r="W65" s="1">
        <v>89362.13</v>
      </c>
      <c r="X65" s="1">
        <v>76691.179999999993</v>
      </c>
      <c r="Z65" s="1">
        <v>-12834.54</v>
      </c>
      <c r="AA65" s="1">
        <v>100974.49</v>
      </c>
      <c r="AB65" s="1">
        <v>86029.08</v>
      </c>
      <c r="AD65" s="1">
        <v>-18876.87</v>
      </c>
      <c r="AE65" s="1">
        <v>110546.87</v>
      </c>
      <c r="AF65" s="1">
        <v>98637.77</v>
      </c>
      <c r="AH65" s="1">
        <v>-9653.42</v>
      </c>
      <c r="AI65">
        <v>-8.52</v>
      </c>
      <c r="AJ65">
        <v>-14.97</v>
      </c>
      <c r="AK65">
        <v>-79.36</v>
      </c>
    </row>
    <row r="66" spans="1:37" x14ac:dyDescent="0.2">
      <c r="A66" t="s">
        <v>140</v>
      </c>
      <c r="B66">
        <v>1080613</v>
      </c>
      <c r="C66" s="1">
        <v>15340</v>
      </c>
      <c r="D66" s="1">
        <v>1797665</v>
      </c>
      <c r="E66" t="s">
        <v>141</v>
      </c>
      <c r="G66" s="1">
        <v>409049</v>
      </c>
      <c r="H66" s="1">
        <v>241011</v>
      </c>
      <c r="I66" s="1">
        <v>326188</v>
      </c>
      <c r="J66" s="1">
        <v>64819</v>
      </c>
      <c r="K66" s="1">
        <v>287526</v>
      </c>
      <c r="L66" s="1">
        <v>185297</v>
      </c>
      <c r="M66" s="1">
        <v>197996</v>
      </c>
      <c r="N66" s="1">
        <v>27221</v>
      </c>
      <c r="O66" s="1">
        <v>498232</v>
      </c>
      <c r="P66" s="1">
        <v>305888</v>
      </c>
      <c r="Q66" s="1">
        <v>135437</v>
      </c>
      <c r="R66" s="1">
        <v>28892</v>
      </c>
      <c r="S66" s="1">
        <v>435871</v>
      </c>
      <c r="T66" s="1">
        <v>276354</v>
      </c>
      <c r="U66" s="1">
        <v>117929</v>
      </c>
      <c r="V66" s="1">
        <v>32606</v>
      </c>
      <c r="W66" s="1">
        <v>463786</v>
      </c>
      <c r="X66" s="1">
        <v>243280</v>
      </c>
      <c r="Y66" s="1">
        <v>106411</v>
      </c>
      <c r="Z66" s="1">
        <v>16794</v>
      </c>
      <c r="AA66" s="1">
        <v>409049</v>
      </c>
      <c r="AB66" s="1">
        <v>241011</v>
      </c>
      <c r="AC66" s="1">
        <v>96120</v>
      </c>
      <c r="AD66" s="1">
        <v>26965</v>
      </c>
      <c r="AE66" s="1">
        <v>348231</v>
      </c>
      <c r="AF66" s="1">
        <v>213603</v>
      </c>
      <c r="AG66" s="1">
        <v>87051</v>
      </c>
      <c r="AH66" s="1">
        <v>18862</v>
      </c>
      <c r="AI66">
        <v>4.17</v>
      </c>
      <c r="AJ66">
        <v>224.61</v>
      </c>
      <c r="AK66">
        <v>362.19</v>
      </c>
    </row>
    <row r="67" spans="1:37" x14ac:dyDescent="0.2">
      <c r="A67" t="s">
        <v>142</v>
      </c>
      <c r="B67">
        <v>1172071</v>
      </c>
      <c r="C67" s="1">
        <v>276</v>
      </c>
      <c r="D67" s="1">
        <v>36489</v>
      </c>
      <c r="E67" t="s">
        <v>38</v>
      </c>
      <c r="G67" s="1">
        <v>21885.65</v>
      </c>
      <c r="H67" s="1">
        <v>14449.41</v>
      </c>
      <c r="I67" s="1">
        <v>4704.63</v>
      </c>
      <c r="J67" s="1">
        <v>-12250.27</v>
      </c>
      <c r="K67" s="1">
        <v>39124.449999999997</v>
      </c>
      <c r="L67" s="1">
        <v>26165.18</v>
      </c>
      <c r="M67" s="1">
        <v>7257.63</v>
      </c>
      <c r="N67" s="1">
        <v>-19016.36</v>
      </c>
      <c r="S67" s="1">
        <v>20582.689999999999</v>
      </c>
      <c r="T67" s="1">
        <v>7907.34</v>
      </c>
      <c r="U67" s="1">
        <v>2131.1</v>
      </c>
      <c r="V67" s="1">
        <v>-6261.8</v>
      </c>
      <c r="AA67" s="1">
        <v>21885.65</v>
      </c>
      <c r="AB67" s="1">
        <v>14449.41</v>
      </c>
      <c r="AC67" s="1">
        <v>2137.14</v>
      </c>
      <c r="AD67" s="1">
        <v>-5153.21</v>
      </c>
      <c r="AI67">
        <v>6.44</v>
      </c>
      <c r="AJ67">
        <v>-26.83</v>
      </c>
      <c r="AK67">
        <v>-59.3</v>
      </c>
    </row>
    <row r="68" spans="1:37" x14ac:dyDescent="0.2">
      <c r="A68" t="s">
        <v>143</v>
      </c>
      <c r="B68">
        <v>1198266</v>
      </c>
      <c r="C68" s="1">
        <v>339.8</v>
      </c>
      <c r="D68" s="1">
        <v>170620</v>
      </c>
      <c r="E68" t="s">
        <v>38</v>
      </c>
      <c r="G68" s="1">
        <v>323824</v>
      </c>
      <c r="H68" s="1">
        <v>20890</v>
      </c>
      <c r="I68" s="1">
        <v>189028</v>
      </c>
      <c r="J68" s="1">
        <v>-6749</v>
      </c>
      <c r="K68" s="1">
        <v>357364</v>
      </c>
      <c r="L68" s="1">
        <v>26155</v>
      </c>
      <c r="M68" s="1">
        <v>191037</v>
      </c>
      <c r="N68" s="1">
        <v>2924</v>
      </c>
      <c r="O68" s="1">
        <v>488582</v>
      </c>
      <c r="P68" s="1">
        <v>60252</v>
      </c>
      <c r="Q68" s="1">
        <v>43416</v>
      </c>
      <c r="R68" s="1">
        <v>-7063</v>
      </c>
      <c r="S68" s="1">
        <v>468688</v>
      </c>
      <c r="T68" s="1">
        <v>67185</v>
      </c>
      <c r="U68" s="1">
        <v>43520</v>
      </c>
      <c r="V68" s="1">
        <v>-4613</v>
      </c>
      <c r="W68" s="1">
        <v>397808</v>
      </c>
      <c r="X68" s="1">
        <v>18216</v>
      </c>
      <c r="Y68" s="1">
        <v>36083</v>
      </c>
      <c r="Z68" s="1">
        <v>-3022</v>
      </c>
      <c r="AA68" s="1">
        <v>323824</v>
      </c>
      <c r="AB68" s="1">
        <v>20890</v>
      </c>
      <c r="AC68" s="1">
        <v>50191</v>
      </c>
      <c r="AD68" s="1">
        <v>-2924</v>
      </c>
      <c r="AE68" s="1">
        <v>349363</v>
      </c>
      <c r="AF68" s="1">
        <v>23544</v>
      </c>
      <c r="AG68" s="1">
        <v>52035</v>
      </c>
      <c r="AH68" s="1">
        <v>-1047</v>
      </c>
      <c r="AI68">
        <v>-16.13</v>
      </c>
      <c r="AJ68">
        <v>0</v>
      </c>
      <c r="AK68">
        <v>0</v>
      </c>
    </row>
    <row r="69" spans="1:37" x14ac:dyDescent="0.2">
      <c r="A69" t="s">
        <v>144</v>
      </c>
      <c r="B69">
        <v>422014</v>
      </c>
      <c r="C69" s="1">
        <v>5629</v>
      </c>
      <c r="D69" s="1">
        <v>738345</v>
      </c>
      <c r="E69" t="s">
        <v>145</v>
      </c>
      <c r="G69" s="1">
        <v>1544898</v>
      </c>
      <c r="H69" s="1">
        <v>417932</v>
      </c>
      <c r="I69" s="1">
        <v>186590</v>
      </c>
      <c r="J69" s="1">
        <v>69574</v>
      </c>
      <c r="K69" s="1">
        <v>1267586</v>
      </c>
      <c r="L69" s="1">
        <v>368358</v>
      </c>
      <c r="M69" s="1">
        <v>191177</v>
      </c>
      <c r="N69" s="1">
        <v>65346</v>
      </c>
      <c r="O69" s="1">
        <v>1789457</v>
      </c>
      <c r="P69" s="1">
        <v>450104</v>
      </c>
      <c r="Q69" s="1">
        <v>59646</v>
      </c>
      <c r="R69" s="1">
        <v>23932</v>
      </c>
      <c r="S69" s="1">
        <v>1712676</v>
      </c>
      <c r="T69" s="1">
        <v>432172</v>
      </c>
      <c r="U69" s="1">
        <v>52915</v>
      </c>
      <c r="V69" s="1">
        <v>19373</v>
      </c>
      <c r="W69" s="1">
        <v>1663286</v>
      </c>
      <c r="X69" s="1">
        <v>418799</v>
      </c>
      <c r="Y69" s="1">
        <v>48387</v>
      </c>
      <c r="Z69" s="1">
        <v>15867</v>
      </c>
      <c r="AA69" s="1">
        <v>1544898</v>
      </c>
      <c r="AB69" s="1">
        <v>417932</v>
      </c>
      <c r="AC69" s="1">
        <v>49034</v>
      </c>
      <c r="AD69" s="1">
        <v>21018</v>
      </c>
      <c r="AE69" s="1">
        <v>1438156</v>
      </c>
      <c r="AF69" s="1">
        <v>404914</v>
      </c>
      <c r="AG69" s="1">
        <v>44981</v>
      </c>
      <c r="AH69" s="1">
        <v>16459</v>
      </c>
      <c r="AI69">
        <v>12.89</v>
      </c>
      <c r="AJ69">
        <v>67.510000000000005</v>
      </c>
      <c r="AK69">
        <v>41.21</v>
      </c>
    </row>
    <row r="70" spans="1:37" x14ac:dyDescent="0.2">
      <c r="A70" t="s">
        <v>146</v>
      </c>
      <c r="B70">
        <v>550012</v>
      </c>
      <c r="C70" s="1">
        <v>5514</v>
      </c>
      <c r="D70" s="1">
        <v>264087</v>
      </c>
      <c r="E70" t="s">
        <v>147</v>
      </c>
      <c r="G70" s="1">
        <v>198031</v>
      </c>
      <c r="H70" s="1">
        <v>147697</v>
      </c>
      <c r="I70" s="1">
        <v>179938</v>
      </c>
      <c r="J70" s="1">
        <v>21336</v>
      </c>
      <c r="K70" s="1">
        <v>184148</v>
      </c>
      <c r="L70" s="1">
        <v>126060</v>
      </c>
      <c r="M70" s="1">
        <v>170732</v>
      </c>
      <c r="N70" s="1">
        <v>18398</v>
      </c>
      <c r="S70" s="1">
        <v>198871</v>
      </c>
      <c r="T70" s="1">
        <v>149862</v>
      </c>
      <c r="U70" s="1">
        <v>104470</v>
      </c>
      <c r="V70" s="1">
        <v>10204</v>
      </c>
      <c r="AA70" s="1">
        <v>198031</v>
      </c>
      <c r="AB70" s="1">
        <v>147697</v>
      </c>
      <c r="AC70" s="1">
        <v>90225</v>
      </c>
      <c r="AD70" s="1">
        <v>11256</v>
      </c>
      <c r="AI70">
        <v>-0.04</v>
      </c>
      <c r="AJ70">
        <v>41.14</v>
      </c>
      <c r="AK70">
        <v>83.71</v>
      </c>
    </row>
    <row r="71" spans="1:37" x14ac:dyDescent="0.2">
      <c r="A71" t="s">
        <v>148</v>
      </c>
      <c r="B71">
        <v>313015</v>
      </c>
      <c r="C71" s="1">
        <v>669.4</v>
      </c>
      <c r="D71" s="1">
        <v>430372</v>
      </c>
      <c r="E71" t="s">
        <v>38</v>
      </c>
      <c r="G71" s="1">
        <v>3524638</v>
      </c>
      <c r="H71" s="1">
        <v>572622</v>
      </c>
      <c r="I71" s="1">
        <v>213711</v>
      </c>
      <c r="J71" s="1">
        <v>-103336</v>
      </c>
      <c r="K71" s="1">
        <v>5274869</v>
      </c>
      <c r="L71" s="1">
        <v>721310</v>
      </c>
      <c r="M71" s="1">
        <v>214671</v>
      </c>
      <c r="N71" s="1">
        <v>-72797</v>
      </c>
      <c r="O71" s="1">
        <v>3886747</v>
      </c>
      <c r="P71" s="1">
        <v>573241</v>
      </c>
      <c r="Q71" s="1">
        <v>54090</v>
      </c>
      <c r="R71" s="1">
        <v>9102</v>
      </c>
      <c r="S71" s="1">
        <v>3750785</v>
      </c>
      <c r="T71" s="1">
        <v>575477</v>
      </c>
      <c r="U71" s="1">
        <v>53201</v>
      </c>
      <c r="V71" s="1">
        <v>11517</v>
      </c>
      <c r="W71" s="1">
        <v>3718518</v>
      </c>
      <c r="X71" s="1">
        <v>578711</v>
      </c>
      <c r="Y71" s="1">
        <v>53147</v>
      </c>
      <c r="Z71" s="1">
        <v>-19778</v>
      </c>
      <c r="AA71" s="1">
        <v>3524638</v>
      </c>
      <c r="AB71" s="1">
        <v>572622</v>
      </c>
      <c r="AC71" s="1">
        <v>54902</v>
      </c>
      <c r="AD71" s="1">
        <v>-38499</v>
      </c>
      <c r="AE71" s="1">
        <v>3839691</v>
      </c>
      <c r="AF71" s="1">
        <v>678760</v>
      </c>
      <c r="AG71" s="1">
        <v>53701</v>
      </c>
      <c r="AH71" s="1">
        <v>-20912</v>
      </c>
      <c r="AI71">
        <v>-19.78</v>
      </c>
      <c r="AJ71">
        <v>8.2100000000000009</v>
      </c>
      <c r="AK71">
        <v>4.9800000000000004</v>
      </c>
    </row>
    <row r="72" spans="1:37" x14ac:dyDescent="0.2">
      <c r="A72" t="s">
        <v>149</v>
      </c>
      <c r="B72">
        <v>1082114</v>
      </c>
      <c r="C72" s="1">
        <v>398.5</v>
      </c>
      <c r="D72" s="1">
        <v>278608</v>
      </c>
      <c r="E72" t="s">
        <v>38</v>
      </c>
      <c r="G72" s="1">
        <v>269810</v>
      </c>
      <c r="H72" s="1">
        <v>179605</v>
      </c>
      <c r="I72" s="1">
        <v>12893</v>
      </c>
      <c r="J72" s="1">
        <v>-86669</v>
      </c>
      <c r="K72" s="1">
        <v>274581</v>
      </c>
      <c r="L72" s="1">
        <v>167156</v>
      </c>
      <c r="M72" s="1">
        <v>10423</v>
      </c>
      <c r="N72" s="1">
        <v>-66081</v>
      </c>
      <c r="S72" s="1">
        <v>233433</v>
      </c>
      <c r="T72" s="1">
        <v>144714</v>
      </c>
      <c r="U72" s="1">
        <v>3236</v>
      </c>
      <c r="V72" s="1">
        <v>-21795</v>
      </c>
      <c r="W72" s="1">
        <v>253669</v>
      </c>
      <c r="X72" s="1">
        <v>163925</v>
      </c>
      <c r="Y72" s="1">
        <v>5032</v>
      </c>
      <c r="Z72" s="1">
        <v>-17463</v>
      </c>
      <c r="AA72" s="1">
        <v>269810</v>
      </c>
      <c r="AB72" s="1">
        <v>179605</v>
      </c>
      <c r="AC72" s="1">
        <v>1654</v>
      </c>
      <c r="AD72" s="1">
        <v>-26680</v>
      </c>
      <c r="AE72" s="1">
        <v>267500</v>
      </c>
      <c r="AF72" s="1">
        <v>172957</v>
      </c>
      <c r="AG72" s="1">
        <v>3790</v>
      </c>
      <c r="AH72" s="1">
        <v>-21886</v>
      </c>
      <c r="AI72">
        <v>-22.9</v>
      </c>
      <c r="AJ72">
        <v>82.29</v>
      </c>
      <c r="AK72">
        <v>-88.47</v>
      </c>
    </row>
    <row r="73" spans="1:37" x14ac:dyDescent="0.2">
      <c r="A73" t="s">
        <v>150</v>
      </c>
      <c r="B73">
        <v>1091354</v>
      </c>
      <c r="C73" s="1">
        <v>21990</v>
      </c>
      <c r="D73" s="1">
        <v>9109897</v>
      </c>
      <c r="E73" t="s">
        <v>151</v>
      </c>
      <c r="G73" s="1">
        <v>21438107</v>
      </c>
      <c r="H73" s="1">
        <v>6853575</v>
      </c>
      <c r="I73" s="1">
        <v>1519978</v>
      </c>
      <c r="J73" s="1">
        <v>663303</v>
      </c>
      <c r="K73" s="1">
        <v>19582416</v>
      </c>
      <c r="L73" s="1">
        <v>6590899</v>
      </c>
      <c r="M73" s="1">
        <v>1392801</v>
      </c>
      <c r="N73" s="1">
        <v>211403</v>
      </c>
      <c r="O73" s="1">
        <v>23206191</v>
      </c>
      <c r="P73" s="1">
        <v>7729082</v>
      </c>
      <c r="Q73" s="1">
        <v>393792</v>
      </c>
      <c r="R73" s="1">
        <v>441652</v>
      </c>
      <c r="S73" s="1">
        <v>22535856</v>
      </c>
      <c r="T73" s="1">
        <v>7308112</v>
      </c>
      <c r="U73" s="1">
        <v>395430</v>
      </c>
      <c r="V73" s="1">
        <v>114326</v>
      </c>
      <c r="W73" s="1">
        <v>22399754</v>
      </c>
      <c r="X73" s="1">
        <v>7360264</v>
      </c>
      <c r="Y73" s="1">
        <v>277885</v>
      </c>
      <c r="Z73" s="1">
        <v>54698</v>
      </c>
      <c r="AA73" s="1">
        <v>21438107</v>
      </c>
      <c r="AB73" s="1">
        <v>6853575</v>
      </c>
      <c r="AC73" s="1">
        <v>406866</v>
      </c>
      <c r="AD73" s="1">
        <v>185186</v>
      </c>
      <c r="AE73" s="1">
        <v>21884245</v>
      </c>
      <c r="AF73" s="1">
        <v>7292701</v>
      </c>
      <c r="AG73" s="1">
        <v>398797</v>
      </c>
      <c r="AH73" s="1">
        <v>346614</v>
      </c>
      <c r="AI73">
        <v>3.63</v>
      </c>
      <c r="AJ73">
        <v>27.76</v>
      </c>
      <c r="AK73">
        <v>89.2</v>
      </c>
    </row>
    <row r="74" spans="1:37" x14ac:dyDescent="0.2">
      <c r="A74" t="s">
        <v>152</v>
      </c>
      <c r="B74">
        <v>1181437</v>
      </c>
      <c r="C74" s="1">
        <v>1775</v>
      </c>
      <c r="D74" s="1">
        <v>817763</v>
      </c>
      <c r="E74" t="s">
        <v>153</v>
      </c>
      <c r="G74" s="1">
        <v>2148950</v>
      </c>
      <c r="H74" s="1">
        <v>495178</v>
      </c>
      <c r="I74" s="1">
        <v>444946</v>
      </c>
      <c r="J74" s="1">
        <v>31502</v>
      </c>
      <c r="K74" s="1">
        <v>1580813</v>
      </c>
      <c r="L74" s="1">
        <v>388529</v>
      </c>
      <c r="M74" s="1">
        <v>410508</v>
      </c>
      <c r="N74" s="1">
        <v>89038</v>
      </c>
      <c r="O74" s="1">
        <v>2705644</v>
      </c>
      <c r="P74" s="1">
        <v>509029</v>
      </c>
      <c r="Q74" s="1">
        <v>212681</v>
      </c>
      <c r="R74" s="1">
        <v>8616</v>
      </c>
      <c r="S74" s="1">
        <v>2583955</v>
      </c>
      <c r="T74" s="1">
        <v>500081</v>
      </c>
      <c r="U74" s="1">
        <v>161333</v>
      </c>
      <c r="V74" s="1">
        <v>5483</v>
      </c>
      <c r="W74" s="1">
        <v>2446725</v>
      </c>
      <c r="X74" s="1">
        <v>494333</v>
      </c>
      <c r="Y74" s="1">
        <v>109207</v>
      </c>
      <c r="Z74" s="1">
        <v>3893</v>
      </c>
      <c r="AA74" s="1">
        <v>2148950</v>
      </c>
      <c r="AB74" s="1">
        <v>495178</v>
      </c>
      <c r="AC74" s="1">
        <v>122088</v>
      </c>
      <c r="AD74" s="1">
        <v>9775</v>
      </c>
      <c r="AE74" s="1">
        <v>1940204</v>
      </c>
      <c r="AF74" s="1">
        <v>485135</v>
      </c>
      <c r="AG74" s="1">
        <v>174702</v>
      </c>
      <c r="AH74" s="1">
        <v>8209</v>
      </c>
      <c r="AI74">
        <v>8.61</v>
      </c>
      <c r="AJ74">
        <v>35.61</v>
      </c>
      <c r="AK74">
        <v>0</v>
      </c>
    </row>
    <row r="75" spans="1:37" x14ac:dyDescent="0.2">
      <c r="A75" t="s">
        <v>154</v>
      </c>
      <c r="B75">
        <v>1182591</v>
      </c>
      <c r="C75" s="1">
        <v>731.8</v>
      </c>
      <c r="D75" s="1">
        <v>220000</v>
      </c>
      <c r="E75" t="s">
        <v>38</v>
      </c>
      <c r="G75" s="1">
        <v>146656.81</v>
      </c>
      <c r="H75" s="1">
        <v>123822.95</v>
      </c>
      <c r="J75" s="1">
        <v>-5339.21</v>
      </c>
      <c r="K75" s="1">
        <v>146041.16</v>
      </c>
      <c r="L75" s="1">
        <v>126219.6</v>
      </c>
      <c r="M75" s="1">
        <v>36270</v>
      </c>
      <c r="N75" s="1">
        <v>-20608.61</v>
      </c>
      <c r="S75" s="1">
        <v>124902.25</v>
      </c>
      <c r="T75" s="1">
        <v>103577.72</v>
      </c>
      <c r="V75" s="1">
        <v>-12054.9</v>
      </c>
      <c r="AA75" s="1">
        <v>146656.81</v>
      </c>
      <c r="AB75" s="1">
        <v>123822.95</v>
      </c>
      <c r="AD75" s="1">
        <v>14230.59</v>
      </c>
      <c r="AI75">
        <v>-10.95</v>
      </c>
      <c r="AJ75">
        <v>-22.14</v>
      </c>
      <c r="AK75">
        <v>-61.43</v>
      </c>
    </row>
    <row r="76" spans="1:37" x14ac:dyDescent="0.2">
      <c r="A76" t="s">
        <v>155</v>
      </c>
      <c r="B76">
        <v>456012</v>
      </c>
      <c r="C76" s="1">
        <v>53.7</v>
      </c>
      <c r="D76" s="1">
        <v>11505</v>
      </c>
      <c r="E76" t="s">
        <v>38</v>
      </c>
      <c r="G76" s="1">
        <v>29278.12</v>
      </c>
      <c r="H76" s="1">
        <v>17917.71</v>
      </c>
      <c r="I76" s="1">
        <v>48322.75</v>
      </c>
      <c r="J76" s="1">
        <v>-6426.01</v>
      </c>
      <c r="K76" s="1">
        <v>29589.07</v>
      </c>
      <c r="L76" s="1">
        <v>24094.16</v>
      </c>
      <c r="M76" s="1">
        <v>55449.58</v>
      </c>
      <c r="N76" s="1">
        <v>-14373.8</v>
      </c>
      <c r="S76" s="1">
        <v>20849.080000000002</v>
      </c>
      <c r="T76" s="1">
        <v>14287.16</v>
      </c>
      <c r="U76" s="1">
        <v>15227.95</v>
      </c>
      <c r="V76" s="1">
        <v>-2343.54</v>
      </c>
      <c r="AA76" s="1">
        <v>29278.12</v>
      </c>
      <c r="AB76" s="1">
        <v>17917.71</v>
      </c>
      <c r="AC76" s="1">
        <v>29639.17</v>
      </c>
      <c r="AD76" s="1">
        <v>-5415.8</v>
      </c>
      <c r="AI76">
        <v>-8.83</v>
      </c>
      <c r="AJ76">
        <v>-52.89</v>
      </c>
      <c r="AK76">
        <v>-74.849999999999994</v>
      </c>
    </row>
    <row r="77" spans="1:37" x14ac:dyDescent="0.2">
      <c r="A77" t="s">
        <v>156</v>
      </c>
      <c r="B77">
        <v>578013</v>
      </c>
      <c r="C77" s="1">
        <v>28910</v>
      </c>
      <c r="D77" s="1">
        <v>1534356</v>
      </c>
      <c r="E77" t="s">
        <v>157</v>
      </c>
      <c r="G77" s="1">
        <v>1948282</v>
      </c>
      <c r="H77" s="1">
        <v>529424</v>
      </c>
      <c r="I77" s="1">
        <v>1783953</v>
      </c>
      <c r="J77" s="1">
        <v>59798</v>
      </c>
      <c r="K77" s="1">
        <v>1863569</v>
      </c>
      <c r="L77" s="1">
        <v>450869</v>
      </c>
      <c r="M77" s="1">
        <v>2154709</v>
      </c>
      <c r="N77" s="1">
        <v>-8563</v>
      </c>
      <c r="O77" s="1">
        <v>2009876</v>
      </c>
      <c r="P77" s="1">
        <v>568149</v>
      </c>
      <c r="Q77" s="1">
        <v>448634</v>
      </c>
      <c r="R77" s="1">
        <v>23286</v>
      </c>
      <c r="S77" s="1">
        <v>1953088</v>
      </c>
      <c r="T77" s="1">
        <v>539427</v>
      </c>
      <c r="U77" s="1">
        <v>392291</v>
      </c>
      <c r="V77" s="1">
        <v>16984</v>
      </c>
      <c r="W77" s="1">
        <v>2026100</v>
      </c>
      <c r="X77" s="1">
        <v>546826</v>
      </c>
      <c r="Y77" s="1">
        <v>415397</v>
      </c>
      <c r="Z77" s="1">
        <v>12222</v>
      </c>
      <c r="AA77" s="1">
        <v>1948282</v>
      </c>
      <c r="AB77" s="1">
        <v>529424</v>
      </c>
      <c r="AC77" s="1">
        <v>439969</v>
      </c>
      <c r="AD77" s="1">
        <v>22958</v>
      </c>
      <c r="AE77" s="1">
        <v>1833284</v>
      </c>
      <c r="AF77" s="1">
        <v>487508</v>
      </c>
      <c r="AG77" s="1">
        <v>458040</v>
      </c>
      <c r="AH77" s="1">
        <v>14144</v>
      </c>
      <c r="AI77">
        <v>40.799999999999997</v>
      </c>
      <c r="AJ77">
        <v>145.5</v>
      </c>
      <c r="AK77">
        <v>101.69</v>
      </c>
    </row>
    <row r="78" spans="1:37" x14ac:dyDescent="0.2">
      <c r="A78" t="s">
        <v>158</v>
      </c>
      <c r="B78">
        <v>1170240</v>
      </c>
      <c r="C78" s="1">
        <v>99.4</v>
      </c>
      <c r="D78" s="1">
        <v>39257</v>
      </c>
      <c r="E78" t="s">
        <v>38</v>
      </c>
      <c r="G78" s="1">
        <v>25962.99</v>
      </c>
      <c r="H78" s="1">
        <v>13318.84</v>
      </c>
      <c r="J78" s="1">
        <v>-51838.46</v>
      </c>
      <c r="K78" s="1">
        <v>70258.62</v>
      </c>
      <c r="L78" s="1">
        <v>50846.91</v>
      </c>
      <c r="N78" s="1">
        <v>-61691.64</v>
      </c>
      <c r="S78" s="1">
        <v>18758.439999999999</v>
      </c>
      <c r="T78" s="1">
        <v>350.69</v>
      </c>
      <c r="V78" s="1">
        <v>-23479.24</v>
      </c>
      <c r="AA78" s="1">
        <v>25962.99</v>
      </c>
      <c r="AB78" s="1">
        <v>13318.84</v>
      </c>
      <c r="AD78" s="1">
        <v>-28267.9</v>
      </c>
      <c r="AI78">
        <v>-21.84</v>
      </c>
      <c r="AJ78">
        <v>-12.77</v>
      </c>
      <c r="AK78">
        <v>-78.86</v>
      </c>
    </row>
    <row r="79" spans="1:37" x14ac:dyDescent="0.2">
      <c r="A79" t="s">
        <v>159</v>
      </c>
      <c r="B79">
        <v>1178334</v>
      </c>
      <c r="C79" s="1">
        <v>3954</v>
      </c>
      <c r="D79" s="1">
        <v>2357651</v>
      </c>
      <c r="E79" t="s">
        <v>160</v>
      </c>
      <c r="G79" s="1">
        <v>2975132.44</v>
      </c>
      <c r="H79" s="1">
        <v>612188.49</v>
      </c>
      <c r="I79" s="1">
        <v>150295.67999999999</v>
      </c>
      <c r="J79" s="1">
        <v>75635.679999999993</v>
      </c>
      <c r="K79" s="1">
        <v>1492868.81</v>
      </c>
      <c r="L79" s="1">
        <v>457779.72</v>
      </c>
      <c r="M79" s="1">
        <v>4408.75</v>
      </c>
      <c r="N79" s="1">
        <v>-45278.93</v>
      </c>
      <c r="O79" s="1">
        <v>3476494.15</v>
      </c>
      <c r="P79" s="1">
        <v>883127.04</v>
      </c>
      <c r="Q79" s="1">
        <v>11805.09</v>
      </c>
      <c r="R79" s="1">
        <v>-24405.72</v>
      </c>
      <c r="S79" s="1">
        <v>3201943.99</v>
      </c>
      <c r="T79" s="1">
        <v>950952.68</v>
      </c>
      <c r="U79" s="1">
        <v>9251.2099999999991</v>
      </c>
      <c r="V79" s="1">
        <v>-39437.300000000003</v>
      </c>
      <c r="W79" s="1">
        <v>3160952.12</v>
      </c>
      <c r="X79" s="1">
        <v>769518.2</v>
      </c>
      <c r="Y79" s="1">
        <v>130426.2</v>
      </c>
      <c r="Z79" s="1">
        <v>77308.97</v>
      </c>
      <c r="AA79" s="1">
        <v>2975132.44</v>
      </c>
      <c r="AB79" s="1">
        <v>612188.49</v>
      </c>
      <c r="AC79" s="1">
        <v>3462.32</v>
      </c>
      <c r="AD79" s="1">
        <v>-12349.69</v>
      </c>
      <c r="AE79" s="1">
        <v>2618025.92</v>
      </c>
      <c r="AF79" s="1">
        <v>557551.06000000006</v>
      </c>
      <c r="AG79" s="1">
        <v>2748.89</v>
      </c>
      <c r="AH79" s="1">
        <v>-22825.74</v>
      </c>
      <c r="AI79">
        <v>9.66</v>
      </c>
      <c r="AJ79">
        <v>40.82</v>
      </c>
      <c r="AK79">
        <v>140.88</v>
      </c>
    </row>
    <row r="80" spans="1:37" x14ac:dyDescent="0.2">
      <c r="A80" t="s">
        <v>161</v>
      </c>
      <c r="B80">
        <v>1085497</v>
      </c>
      <c r="C80" s="1">
        <v>2.8</v>
      </c>
      <c r="D80" s="1">
        <v>24679</v>
      </c>
      <c r="E80" t="s">
        <v>38</v>
      </c>
      <c r="G80" s="1">
        <v>31181.85</v>
      </c>
      <c r="H80" s="1">
        <v>19821.45</v>
      </c>
      <c r="I80" s="1">
        <v>1644.8</v>
      </c>
      <c r="J80" s="1">
        <v>-3745.47</v>
      </c>
      <c r="K80" s="1">
        <v>8799.1</v>
      </c>
      <c r="L80" s="1">
        <v>8051.94</v>
      </c>
      <c r="N80" s="1">
        <v>-6463.31</v>
      </c>
      <c r="AA80" s="1">
        <v>31181.85</v>
      </c>
      <c r="AB80" s="1">
        <v>19821.45</v>
      </c>
      <c r="AC80" s="1">
        <v>1053.98</v>
      </c>
      <c r="AD80" s="1">
        <v>-929.99</v>
      </c>
      <c r="AE80" s="1">
        <v>34428.800000000003</v>
      </c>
      <c r="AF80" s="1">
        <v>21210.07</v>
      </c>
      <c r="AG80" s="1">
        <v>601.02</v>
      </c>
      <c r="AH80" s="1">
        <v>-2051.63</v>
      </c>
      <c r="AI80">
        <v>-31.71</v>
      </c>
      <c r="AJ80">
        <v>-56.25</v>
      </c>
      <c r="AK80">
        <v>-37.78</v>
      </c>
    </row>
    <row r="81" spans="1:37" x14ac:dyDescent="0.2">
      <c r="A81" t="s">
        <v>162</v>
      </c>
      <c r="B81">
        <v>1227552</v>
      </c>
      <c r="C81" s="1">
        <v>403.9</v>
      </c>
      <c r="D81" s="1">
        <v>73844</v>
      </c>
      <c r="E81" t="s">
        <v>38</v>
      </c>
      <c r="G81" s="1">
        <v>5712</v>
      </c>
      <c r="H81" s="1">
        <v>-3834</v>
      </c>
      <c r="I81" s="1">
        <v>15865</v>
      </c>
      <c r="J81" s="1">
        <v>-2877</v>
      </c>
      <c r="K81" s="1">
        <v>6329</v>
      </c>
      <c r="L81" s="1">
        <v>-2585</v>
      </c>
      <c r="M81" s="1">
        <v>10509</v>
      </c>
      <c r="N81" s="1">
        <v>-1752</v>
      </c>
      <c r="S81" s="1">
        <v>7963</v>
      </c>
      <c r="T81" s="1">
        <v>-6372</v>
      </c>
      <c r="U81" s="1">
        <v>7754</v>
      </c>
      <c r="V81" s="1">
        <v>-3542</v>
      </c>
      <c r="AA81" s="1">
        <v>5712</v>
      </c>
      <c r="AB81" s="1">
        <v>-3834</v>
      </c>
      <c r="AC81" s="1">
        <v>8637</v>
      </c>
      <c r="AD81" s="1">
        <v>-1160</v>
      </c>
      <c r="AI81">
        <v>-43.38</v>
      </c>
      <c r="AJ81">
        <v>0</v>
      </c>
      <c r="AK81">
        <v>0</v>
      </c>
    </row>
    <row r="82" spans="1:37" x14ac:dyDescent="0.2">
      <c r="A82" t="s">
        <v>163</v>
      </c>
      <c r="B82">
        <v>383018</v>
      </c>
      <c r="C82" s="1">
        <v>27.7</v>
      </c>
      <c r="D82" s="1">
        <v>13855</v>
      </c>
      <c r="E82" t="s">
        <v>38</v>
      </c>
      <c r="G82" s="1">
        <v>21090</v>
      </c>
      <c r="H82" s="1">
        <v>12907</v>
      </c>
      <c r="I82" s="1">
        <v>2216</v>
      </c>
      <c r="J82" s="1">
        <v>-23079</v>
      </c>
      <c r="K82" s="1">
        <v>35249</v>
      </c>
      <c r="L82" s="1">
        <v>29206</v>
      </c>
      <c r="M82" s="1">
        <v>1914</v>
      </c>
      <c r="N82" s="1">
        <v>-24240</v>
      </c>
      <c r="S82" s="1">
        <v>11417</v>
      </c>
      <c r="T82" s="1">
        <v>10011</v>
      </c>
      <c r="U82" s="1">
        <v>908</v>
      </c>
      <c r="V82" s="1">
        <v>-5822</v>
      </c>
      <c r="AA82" s="1">
        <v>21090</v>
      </c>
      <c r="AB82" s="1">
        <v>12907</v>
      </c>
      <c r="AC82" s="1">
        <v>892</v>
      </c>
      <c r="AD82" s="1">
        <v>-11292</v>
      </c>
      <c r="AI82">
        <v>-12.31</v>
      </c>
      <c r="AJ82">
        <v>-32.75</v>
      </c>
      <c r="AK82">
        <v>-76.22</v>
      </c>
    </row>
    <row r="83" spans="1:37" x14ac:dyDescent="0.2">
      <c r="A83" t="s">
        <v>164</v>
      </c>
      <c r="B83">
        <v>770016</v>
      </c>
      <c r="C83" s="1">
        <v>160.6</v>
      </c>
      <c r="D83" s="1">
        <v>310235</v>
      </c>
      <c r="E83" t="s">
        <v>165</v>
      </c>
      <c r="G83" s="1">
        <v>349988</v>
      </c>
      <c r="H83" s="1">
        <v>139549</v>
      </c>
      <c r="I83" s="1">
        <v>361383</v>
      </c>
      <c r="J83" s="1">
        <v>8852</v>
      </c>
      <c r="K83" s="1">
        <v>218378</v>
      </c>
      <c r="L83" s="1">
        <v>114635</v>
      </c>
      <c r="M83" s="1">
        <v>274457</v>
      </c>
      <c r="N83" s="1">
        <v>8443</v>
      </c>
      <c r="S83" s="1">
        <v>326608</v>
      </c>
      <c r="T83" s="1">
        <v>148215</v>
      </c>
      <c r="U83" s="1">
        <v>86422</v>
      </c>
      <c r="V83" s="1">
        <v>-2373</v>
      </c>
      <c r="W83" s="1">
        <v>349594</v>
      </c>
      <c r="X83" s="1">
        <v>145161</v>
      </c>
      <c r="Y83" s="1">
        <v>103124</v>
      </c>
      <c r="Z83" s="1">
        <v>1467</v>
      </c>
      <c r="AA83" s="1">
        <v>349988</v>
      </c>
      <c r="AB83" s="1">
        <v>139549</v>
      </c>
      <c r="AC83" s="1">
        <v>114978</v>
      </c>
      <c r="AD83" s="1">
        <v>3482</v>
      </c>
      <c r="AE83" s="1">
        <v>287835</v>
      </c>
      <c r="AF83" s="1">
        <v>119868</v>
      </c>
      <c r="AG83" s="1">
        <v>85623</v>
      </c>
      <c r="AH83" s="1">
        <v>1235</v>
      </c>
      <c r="AI83">
        <v>-24.99</v>
      </c>
      <c r="AJ83">
        <v>13.68</v>
      </c>
      <c r="AK83">
        <v>46.61</v>
      </c>
    </row>
    <row r="84" spans="1:37" x14ac:dyDescent="0.2">
      <c r="A84" t="s">
        <v>166</v>
      </c>
      <c r="B84">
        <v>1222462</v>
      </c>
      <c r="C84" s="1">
        <v>1600</v>
      </c>
      <c r="D84" s="1">
        <v>1186516</v>
      </c>
      <c r="E84" t="s">
        <v>167</v>
      </c>
      <c r="G84" s="1">
        <v>88195.4</v>
      </c>
      <c r="H84" s="1">
        <v>53067.5</v>
      </c>
      <c r="I84" s="1">
        <v>108323.2</v>
      </c>
      <c r="J84" s="1">
        <v>20550.849999999999</v>
      </c>
      <c r="K84" s="1">
        <v>82884.210000000006</v>
      </c>
      <c r="L84" s="1">
        <v>61002.51</v>
      </c>
      <c r="M84" s="1">
        <v>84588.9</v>
      </c>
      <c r="N84" s="1">
        <v>23510.21</v>
      </c>
      <c r="O84" s="1">
        <v>273882.26</v>
      </c>
      <c r="P84" s="1">
        <v>224857.59</v>
      </c>
      <c r="Q84" s="1">
        <v>96948.45</v>
      </c>
      <c r="R84" s="1">
        <v>18675.59</v>
      </c>
      <c r="S84" s="1">
        <v>273529.89</v>
      </c>
      <c r="T84" s="1">
        <v>220414.15</v>
      </c>
      <c r="U84" s="1">
        <v>59606.84</v>
      </c>
      <c r="V84" s="1">
        <v>11744.68</v>
      </c>
      <c r="AA84" s="1">
        <v>88195.4</v>
      </c>
      <c r="AB84" s="1">
        <v>53067.5</v>
      </c>
      <c r="AC84" s="1">
        <v>57582.48</v>
      </c>
      <c r="AD84" s="1">
        <v>10277.25</v>
      </c>
      <c r="AI84">
        <v>-16.8</v>
      </c>
      <c r="AJ84">
        <v>0</v>
      </c>
      <c r="AK84">
        <v>0</v>
      </c>
    </row>
    <row r="85" spans="1:37" x14ac:dyDescent="0.2">
      <c r="A85" t="s">
        <v>168</v>
      </c>
      <c r="B85">
        <v>299016</v>
      </c>
      <c r="C85" s="1">
        <v>1095</v>
      </c>
      <c r="D85" s="1">
        <v>110843</v>
      </c>
      <c r="E85" t="s">
        <v>169</v>
      </c>
      <c r="G85" s="1">
        <v>59392</v>
      </c>
      <c r="H85" s="1">
        <v>39808</v>
      </c>
      <c r="I85" s="1">
        <v>54044</v>
      </c>
      <c r="J85" s="1">
        <v>16184</v>
      </c>
      <c r="K85" s="1">
        <v>38243</v>
      </c>
      <c r="L85" s="1">
        <v>31212</v>
      </c>
      <c r="M85" s="1">
        <v>31115</v>
      </c>
      <c r="N85" s="1">
        <v>5939</v>
      </c>
      <c r="S85" s="1">
        <v>35976</v>
      </c>
      <c r="T85" s="1">
        <v>24303</v>
      </c>
      <c r="U85" s="1">
        <v>10963</v>
      </c>
      <c r="V85" s="1">
        <v>-1496</v>
      </c>
      <c r="AA85" s="1">
        <v>59392</v>
      </c>
      <c r="AB85" s="1">
        <v>39808</v>
      </c>
      <c r="AC85" s="1">
        <v>47287</v>
      </c>
      <c r="AD85" s="1">
        <v>18248</v>
      </c>
      <c r="AI85">
        <v>-0.53</v>
      </c>
      <c r="AJ85">
        <v>65.099999999999994</v>
      </c>
      <c r="AK85">
        <v>360.71</v>
      </c>
    </row>
    <row r="86" spans="1:37" x14ac:dyDescent="0.2">
      <c r="A86" t="s">
        <v>170</v>
      </c>
      <c r="B86">
        <v>1179662</v>
      </c>
      <c r="C86" s="1">
        <v>468.3</v>
      </c>
      <c r="D86" s="1">
        <v>508035</v>
      </c>
      <c r="E86" t="s">
        <v>38</v>
      </c>
      <c r="G86" s="1">
        <v>221690.19</v>
      </c>
      <c r="H86" s="1">
        <v>82042.91</v>
      </c>
      <c r="I86" s="1">
        <v>2800.9</v>
      </c>
      <c r="J86" s="1">
        <v>-179859.1</v>
      </c>
      <c r="K86" s="1">
        <v>183109.1</v>
      </c>
      <c r="L86" s="1">
        <v>152671.31</v>
      </c>
      <c r="M86" s="1">
        <v>5331.69</v>
      </c>
      <c r="N86" s="1">
        <v>-157774.5</v>
      </c>
      <c r="O86" s="1">
        <v>218467.09</v>
      </c>
      <c r="P86" s="1">
        <v>162344.44</v>
      </c>
      <c r="Q86" s="1">
        <v>839.72</v>
      </c>
      <c r="R86" s="1">
        <v>-36481.71</v>
      </c>
      <c r="S86" s="1">
        <v>255715.62</v>
      </c>
      <c r="T86" s="1">
        <v>195525.42</v>
      </c>
      <c r="U86" s="1">
        <v>923.93</v>
      </c>
      <c r="V86" s="1">
        <v>-34252.78</v>
      </c>
      <c r="W86" s="1">
        <v>316171.28000000003</v>
      </c>
      <c r="X86" s="1">
        <v>244354.39</v>
      </c>
      <c r="Y86" s="1">
        <v>148.72</v>
      </c>
      <c r="Z86" s="1">
        <v>-51375.32</v>
      </c>
      <c r="AA86" s="1">
        <v>221690.19</v>
      </c>
      <c r="AB86" s="1">
        <v>82042.91</v>
      </c>
      <c r="AC86" s="1">
        <v>361.05</v>
      </c>
      <c r="AD86" s="1">
        <v>-44464.22</v>
      </c>
      <c r="AE86" s="1">
        <v>205778.86</v>
      </c>
      <c r="AF86" s="1">
        <v>63863.94</v>
      </c>
      <c r="AG86" s="1">
        <v>456.33</v>
      </c>
      <c r="AH86" s="1">
        <v>-46649.54</v>
      </c>
      <c r="AI86">
        <v>1.87</v>
      </c>
      <c r="AJ86">
        <v>-35.76</v>
      </c>
      <c r="AK86">
        <v>0</v>
      </c>
    </row>
    <row r="87" spans="1:37" x14ac:dyDescent="0.2">
      <c r="A87" t="s">
        <v>171</v>
      </c>
      <c r="B87">
        <v>1091651</v>
      </c>
      <c r="C87" s="1">
        <v>5477</v>
      </c>
      <c r="D87" s="1">
        <v>1354502</v>
      </c>
      <c r="E87" t="s">
        <v>172</v>
      </c>
      <c r="G87" s="1">
        <v>1291800.25</v>
      </c>
      <c r="H87" s="1">
        <v>595595.23</v>
      </c>
      <c r="I87" s="1">
        <v>1437060.26</v>
      </c>
      <c r="J87" s="1">
        <v>88600.22</v>
      </c>
      <c r="K87" s="1">
        <v>1262362.8700000001</v>
      </c>
      <c r="L87" s="1">
        <v>568191.32999999996</v>
      </c>
      <c r="M87" s="1">
        <v>1310076.06</v>
      </c>
      <c r="N87" s="1">
        <v>98012.42</v>
      </c>
      <c r="O87" s="1">
        <v>1312928.31</v>
      </c>
      <c r="P87" s="1">
        <v>610687.62</v>
      </c>
      <c r="Q87" s="1">
        <v>344366.18</v>
      </c>
      <c r="R87" s="1">
        <v>23429.62</v>
      </c>
      <c r="S87" s="1">
        <v>1338589.58</v>
      </c>
      <c r="T87" s="1">
        <v>599163.93000000005</v>
      </c>
      <c r="U87" s="1">
        <v>373091.57</v>
      </c>
      <c r="V87" s="1">
        <v>30759.38</v>
      </c>
      <c r="W87" s="1">
        <v>1349793.85</v>
      </c>
      <c r="X87" s="1">
        <v>644452.07999999996</v>
      </c>
      <c r="Y87" s="1">
        <v>385270.31</v>
      </c>
      <c r="Z87" s="1">
        <v>26777.040000000001</v>
      </c>
      <c r="AA87" s="1">
        <v>1291800.25</v>
      </c>
      <c r="AB87" s="1">
        <v>595595.23</v>
      </c>
      <c r="AC87" s="1">
        <v>364886</v>
      </c>
      <c r="AD87" s="1">
        <v>18873.23</v>
      </c>
      <c r="AE87" s="1">
        <v>1354661.99</v>
      </c>
      <c r="AF87" s="1">
        <v>607879.80000000005</v>
      </c>
      <c r="AG87" s="1">
        <v>365386.77</v>
      </c>
      <c r="AH87" s="1">
        <v>22404.69</v>
      </c>
      <c r="AI87">
        <v>-5.27</v>
      </c>
      <c r="AJ87">
        <v>5.3</v>
      </c>
      <c r="AK87">
        <v>27.34</v>
      </c>
    </row>
    <row r="88" spans="1:37" x14ac:dyDescent="0.2">
      <c r="A88" t="s">
        <v>173</v>
      </c>
      <c r="B88">
        <v>366013</v>
      </c>
      <c r="C88" s="1">
        <v>362.7</v>
      </c>
      <c r="D88" s="1">
        <v>1253395</v>
      </c>
      <c r="E88" t="s">
        <v>174</v>
      </c>
      <c r="G88" s="1">
        <v>2425475</v>
      </c>
      <c r="H88" s="1">
        <v>942867</v>
      </c>
      <c r="I88" s="1">
        <v>108777</v>
      </c>
      <c r="J88" s="1">
        <v>117807</v>
      </c>
      <c r="K88" s="1">
        <v>1780186</v>
      </c>
      <c r="L88" s="1">
        <v>819677</v>
      </c>
      <c r="M88" s="1">
        <v>101334</v>
      </c>
      <c r="N88" s="1">
        <v>33887</v>
      </c>
      <c r="O88" s="1">
        <v>2518879</v>
      </c>
      <c r="P88" s="1">
        <v>942446</v>
      </c>
      <c r="Q88" s="1">
        <v>29842</v>
      </c>
      <c r="R88" s="1">
        <v>461</v>
      </c>
      <c r="S88" s="1">
        <v>2496213</v>
      </c>
      <c r="T88" s="1">
        <v>943728</v>
      </c>
      <c r="U88" s="1">
        <v>27029</v>
      </c>
      <c r="V88" s="1">
        <v>3774</v>
      </c>
      <c r="W88" s="1">
        <v>2487975</v>
      </c>
      <c r="X88" s="1">
        <v>939484</v>
      </c>
      <c r="Y88" s="1">
        <v>27292</v>
      </c>
      <c r="Z88" s="1">
        <v>3561</v>
      </c>
      <c r="AA88" s="1">
        <v>2425475</v>
      </c>
      <c r="AB88" s="1">
        <v>942867</v>
      </c>
      <c r="AC88" s="1">
        <v>26856</v>
      </c>
      <c r="AD88" s="1">
        <v>96550</v>
      </c>
      <c r="AE88" s="1">
        <v>2279073</v>
      </c>
      <c r="AF88" s="1">
        <v>840359</v>
      </c>
      <c r="AG88" s="1">
        <v>29615</v>
      </c>
      <c r="AH88" s="1">
        <v>-2469</v>
      </c>
      <c r="AI88">
        <v>23.38</v>
      </c>
      <c r="AJ88">
        <v>73.69</v>
      </c>
      <c r="AK88">
        <v>18.66</v>
      </c>
    </row>
    <row r="89" spans="1:37" x14ac:dyDescent="0.2">
      <c r="A89" t="s">
        <v>175</v>
      </c>
      <c r="B89">
        <v>1178912</v>
      </c>
      <c r="C89" s="1">
        <v>19.7</v>
      </c>
      <c r="D89" s="1">
        <v>20521</v>
      </c>
      <c r="E89" t="s">
        <v>38</v>
      </c>
      <c r="G89" s="1">
        <v>34748</v>
      </c>
      <c r="H89" s="1">
        <v>15037</v>
      </c>
      <c r="I89" s="1">
        <v>37961</v>
      </c>
      <c r="J89" s="1">
        <v>-9470</v>
      </c>
      <c r="K89" s="1">
        <v>46907</v>
      </c>
      <c r="L89" s="1">
        <v>23727</v>
      </c>
      <c r="M89" s="1">
        <v>29883</v>
      </c>
      <c r="N89" s="1">
        <v>-19221</v>
      </c>
      <c r="S89" s="1">
        <v>31513</v>
      </c>
      <c r="T89" s="1">
        <v>13400</v>
      </c>
      <c r="U89" s="1">
        <v>20767</v>
      </c>
      <c r="V89" s="1">
        <v>-1890</v>
      </c>
      <c r="AA89" s="1">
        <v>34748</v>
      </c>
      <c r="AB89" s="1">
        <v>15037</v>
      </c>
      <c r="AC89" s="1">
        <v>18866</v>
      </c>
      <c r="AD89" s="1">
        <v>-9563</v>
      </c>
      <c r="AI89">
        <v>-30.88</v>
      </c>
      <c r="AJ89">
        <v>-13.22</v>
      </c>
      <c r="AK89">
        <v>69.83</v>
      </c>
    </row>
    <row r="90" spans="1:37" x14ac:dyDescent="0.2">
      <c r="A90" t="s">
        <v>176</v>
      </c>
      <c r="B90">
        <v>1085265</v>
      </c>
      <c r="C90" s="1">
        <v>2879</v>
      </c>
      <c r="D90" s="1">
        <v>130196</v>
      </c>
      <c r="E90" t="s">
        <v>177</v>
      </c>
      <c r="G90" s="1">
        <v>192411</v>
      </c>
      <c r="H90" s="1">
        <v>104096</v>
      </c>
      <c r="I90" s="1">
        <v>218029</v>
      </c>
      <c r="J90" s="1">
        <v>6816</v>
      </c>
      <c r="K90" s="1">
        <v>227121</v>
      </c>
      <c r="L90" s="1">
        <v>96963</v>
      </c>
      <c r="M90" s="1">
        <v>171948</v>
      </c>
      <c r="N90" s="1">
        <v>16086</v>
      </c>
      <c r="S90" s="1">
        <v>193011</v>
      </c>
      <c r="T90" s="1">
        <v>101156</v>
      </c>
      <c r="U90" s="1">
        <v>133192</v>
      </c>
      <c r="V90" s="1">
        <v>5947</v>
      </c>
      <c r="AA90" s="1">
        <v>192411</v>
      </c>
      <c r="AB90" s="1">
        <v>104096</v>
      </c>
      <c r="AC90" s="1">
        <v>116866</v>
      </c>
      <c r="AD90" s="1">
        <v>4752</v>
      </c>
      <c r="AI90">
        <v>21.24</v>
      </c>
      <c r="AJ90">
        <v>90.14</v>
      </c>
      <c r="AK90">
        <v>40.46</v>
      </c>
    </row>
    <row r="91" spans="1:37" x14ac:dyDescent="0.2">
      <c r="A91" t="s">
        <v>178</v>
      </c>
      <c r="B91">
        <v>1105139</v>
      </c>
      <c r="C91" s="1">
        <v>26.3</v>
      </c>
      <c r="D91" s="1">
        <v>19741</v>
      </c>
      <c r="E91" t="s">
        <v>179</v>
      </c>
      <c r="G91" s="1">
        <v>75394</v>
      </c>
      <c r="H91" s="1">
        <v>20808</v>
      </c>
      <c r="I91" s="1">
        <v>46898</v>
      </c>
      <c r="J91" s="1">
        <v>-482</v>
      </c>
      <c r="K91" s="1">
        <v>75712</v>
      </c>
      <c r="L91" s="1">
        <v>23982</v>
      </c>
      <c r="M91" s="1">
        <v>51784</v>
      </c>
      <c r="N91" s="1">
        <v>3025</v>
      </c>
      <c r="S91" s="1">
        <v>77055</v>
      </c>
      <c r="T91" s="1">
        <v>21288</v>
      </c>
      <c r="U91" s="1">
        <v>24620</v>
      </c>
      <c r="V91" s="1">
        <v>435</v>
      </c>
      <c r="AA91" s="1">
        <v>75394</v>
      </c>
      <c r="AB91" s="1">
        <v>20808</v>
      </c>
      <c r="AC91" s="1">
        <v>16332</v>
      </c>
      <c r="AD91" s="1">
        <v>-3309</v>
      </c>
      <c r="AI91">
        <v>-12.67</v>
      </c>
      <c r="AJ91">
        <v>-13.82</v>
      </c>
      <c r="AK91">
        <v>-56.11</v>
      </c>
    </row>
    <row r="92" spans="1:37" x14ac:dyDescent="0.2">
      <c r="A92" t="s">
        <v>180</v>
      </c>
      <c r="B92">
        <v>1158823</v>
      </c>
      <c r="C92" s="1">
        <v>77.599999999999994</v>
      </c>
      <c r="D92" s="1">
        <v>338483</v>
      </c>
      <c r="E92" t="s">
        <v>38</v>
      </c>
      <c r="G92" s="1">
        <v>544001.12</v>
      </c>
      <c r="H92" s="1">
        <v>343047.77</v>
      </c>
      <c r="I92" s="1">
        <v>427924.4</v>
      </c>
      <c r="J92" s="1">
        <v>-81313.509999999995</v>
      </c>
      <c r="K92" s="1">
        <v>633372.15</v>
      </c>
      <c r="L92" s="1">
        <v>436487.7</v>
      </c>
      <c r="M92" s="1">
        <v>423376.09</v>
      </c>
      <c r="N92" s="1">
        <v>-700.01</v>
      </c>
      <c r="S92" s="1">
        <v>511266.01</v>
      </c>
      <c r="T92" s="1">
        <v>339793.07</v>
      </c>
      <c r="U92" s="1">
        <v>203540.66</v>
      </c>
      <c r="V92" s="1">
        <v>-12564.07</v>
      </c>
      <c r="AA92" s="1">
        <v>544001.12</v>
      </c>
      <c r="AB92" s="1">
        <v>343047.77</v>
      </c>
      <c r="AC92" s="1">
        <v>213181.74</v>
      </c>
      <c r="AD92" s="1">
        <v>-81320.81</v>
      </c>
      <c r="AI92">
        <v>11.45</v>
      </c>
      <c r="AJ92">
        <v>-13.5</v>
      </c>
      <c r="AK92">
        <v>-34.44</v>
      </c>
    </row>
    <row r="93" spans="1:37" x14ac:dyDescent="0.2">
      <c r="A93" t="s">
        <v>181</v>
      </c>
      <c r="B93">
        <v>1179043</v>
      </c>
      <c r="C93" s="1">
        <v>1041</v>
      </c>
      <c r="D93" s="1">
        <v>35182</v>
      </c>
      <c r="E93" t="s">
        <v>38</v>
      </c>
      <c r="G93" s="1">
        <v>9121.15</v>
      </c>
      <c r="H93" s="1">
        <v>-2797.25</v>
      </c>
      <c r="I93" s="1">
        <v>25656.65</v>
      </c>
      <c r="J93" s="1">
        <v>-9887.02</v>
      </c>
      <c r="K93" s="1">
        <v>13916.8</v>
      </c>
      <c r="L93" s="1">
        <v>5745.17</v>
      </c>
      <c r="M93" s="1">
        <v>23140.26</v>
      </c>
      <c r="N93" s="1">
        <v>-10275.290000000001</v>
      </c>
      <c r="S93" s="1">
        <v>10068.790000000001</v>
      </c>
      <c r="T93" s="1">
        <v>-4906.26</v>
      </c>
      <c r="U93" s="1">
        <v>12223.5</v>
      </c>
      <c r="V93" s="1">
        <v>-8993.1200000000008</v>
      </c>
      <c r="AA93" s="1">
        <v>9121.15</v>
      </c>
      <c r="AB93" s="1">
        <v>-2797.25</v>
      </c>
      <c r="AC93" s="1">
        <v>12636.86</v>
      </c>
      <c r="AD93" s="1">
        <v>-5576.26</v>
      </c>
      <c r="AI93">
        <v>-38.08</v>
      </c>
      <c r="AJ93">
        <v>23.51</v>
      </c>
      <c r="AK93">
        <v>-73.930000000000007</v>
      </c>
    </row>
    <row r="94" spans="1:37" x14ac:dyDescent="0.2">
      <c r="A94" t="s">
        <v>182</v>
      </c>
      <c r="B94">
        <v>1176635</v>
      </c>
      <c r="C94" s="1">
        <v>4.5</v>
      </c>
      <c r="D94" s="1">
        <v>623</v>
      </c>
      <c r="E94" t="s">
        <v>38</v>
      </c>
      <c r="G94" s="1">
        <v>86155</v>
      </c>
      <c r="H94" s="1">
        <v>35860</v>
      </c>
      <c r="I94" s="1">
        <v>7502</v>
      </c>
      <c r="J94" s="1">
        <v>26867</v>
      </c>
      <c r="K94" s="1">
        <v>131988</v>
      </c>
      <c r="L94" s="1">
        <v>8993</v>
      </c>
      <c r="M94" s="1">
        <v>27687</v>
      </c>
      <c r="N94" s="1">
        <v>-78020</v>
      </c>
      <c r="O94" s="1">
        <v>53251</v>
      </c>
      <c r="P94" s="1">
        <v>6928</v>
      </c>
      <c r="Q94" s="1">
        <v>1539</v>
      </c>
      <c r="R94" s="1">
        <v>-5598</v>
      </c>
      <c r="S94" s="1">
        <v>62877</v>
      </c>
      <c r="T94" s="1">
        <v>12526</v>
      </c>
      <c r="U94" s="1">
        <v>1856</v>
      </c>
      <c r="V94" s="1">
        <v>-8508</v>
      </c>
      <c r="W94" s="1">
        <v>76535</v>
      </c>
      <c r="X94" s="1">
        <v>21034</v>
      </c>
      <c r="Y94" s="1">
        <v>2166</v>
      </c>
      <c r="Z94" s="1">
        <v>-14826</v>
      </c>
      <c r="AA94" s="1">
        <v>86155</v>
      </c>
      <c r="AB94" s="1">
        <v>35860</v>
      </c>
      <c r="AC94" s="1">
        <v>-853</v>
      </c>
      <c r="AD94" s="1">
        <v>-20570</v>
      </c>
      <c r="AE94" s="1">
        <v>100599</v>
      </c>
      <c r="AF94" s="1">
        <v>56430</v>
      </c>
      <c r="AG94" s="1">
        <v>2204</v>
      </c>
      <c r="AH94" s="1">
        <v>56381</v>
      </c>
      <c r="AI94">
        <v>-22.81</v>
      </c>
      <c r="AJ94">
        <v>-29.03</v>
      </c>
      <c r="AK94">
        <v>-99.55</v>
      </c>
    </row>
    <row r="95" spans="1:37" x14ac:dyDescent="0.2">
      <c r="A95" t="s">
        <v>183</v>
      </c>
      <c r="B95">
        <v>1180595</v>
      </c>
      <c r="C95" s="1">
        <v>774.8</v>
      </c>
      <c r="D95" s="1">
        <v>434193</v>
      </c>
      <c r="E95" t="s">
        <v>184</v>
      </c>
      <c r="G95" s="1">
        <v>256442.46</v>
      </c>
      <c r="H95" s="1">
        <v>242598.44</v>
      </c>
      <c r="I95" s="1">
        <v>57567.9</v>
      </c>
      <c r="J95" s="1">
        <v>10558.07</v>
      </c>
      <c r="K95" s="1">
        <v>252359.41</v>
      </c>
      <c r="L95" s="1">
        <v>239291.33</v>
      </c>
      <c r="M95" s="1">
        <v>75992.91</v>
      </c>
      <c r="N95" s="1">
        <v>16354.14</v>
      </c>
      <c r="O95" s="1">
        <v>251765.12</v>
      </c>
      <c r="P95" s="1">
        <v>222824.4</v>
      </c>
      <c r="Q95" s="1">
        <v>39232.300000000003</v>
      </c>
      <c r="R95" s="1">
        <v>9068.36</v>
      </c>
      <c r="S95" s="1">
        <v>233561.58</v>
      </c>
      <c r="T95" s="1">
        <v>222447.47</v>
      </c>
      <c r="U95" s="1">
        <v>9259.51</v>
      </c>
      <c r="V95" s="1">
        <v>4043.03</v>
      </c>
      <c r="W95" s="1">
        <v>265394.55</v>
      </c>
      <c r="X95" s="1">
        <v>240606.65</v>
      </c>
      <c r="Y95" s="1">
        <v>12347.48</v>
      </c>
      <c r="Z95" s="1">
        <v>635.78</v>
      </c>
      <c r="AA95" s="1">
        <v>256442.46</v>
      </c>
      <c r="AB95" s="1">
        <v>242598.44</v>
      </c>
      <c r="AC95" s="1">
        <v>16261.97</v>
      </c>
      <c r="AD95" s="1">
        <v>-142.22999999999999</v>
      </c>
      <c r="AE95" s="1">
        <v>256924.92</v>
      </c>
      <c r="AF95" s="1">
        <v>246625.96</v>
      </c>
      <c r="AG95" s="1">
        <v>10770.13</v>
      </c>
      <c r="AH95" s="1">
        <v>2370.69</v>
      </c>
      <c r="AI95">
        <v>6.47</v>
      </c>
      <c r="AJ95">
        <v>12.66</v>
      </c>
      <c r="AK95">
        <v>-16.559999999999999</v>
      </c>
    </row>
    <row r="96" spans="1:37" x14ac:dyDescent="0.2">
      <c r="A96" t="s">
        <v>185</v>
      </c>
      <c r="B96">
        <v>485011</v>
      </c>
      <c r="C96" s="1">
        <v>24.5</v>
      </c>
      <c r="D96" s="1">
        <v>286142</v>
      </c>
      <c r="E96" t="s">
        <v>38</v>
      </c>
      <c r="G96" s="1">
        <v>23406</v>
      </c>
      <c r="H96" s="1">
        <v>6957</v>
      </c>
      <c r="J96" s="1">
        <v>-27826</v>
      </c>
      <c r="K96" s="1">
        <v>44889</v>
      </c>
      <c r="L96" s="1">
        <v>29305</v>
      </c>
      <c r="N96" s="1">
        <v>-28529</v>
      </c>
      <c r="S96" s="1">
        <v>17329</v>
      </c>
      <c r="T96" s="1">
        <v>-1675</v>
      </c>
      <c r="V96" s="1">
        <v>-12668</v>
      </c>
      <c r="AA96" s="1">
        <v>23406</v>
      </c>
      <c r="AB96" s="1">
        <v>6957</v>
      </c>
      <c r="AD96" s="1">
        <v>-5860</v>
      </c>
      <c r="AE96" s="1">
        <v>26412</v>
      </c>
      <c r="AF96" s="1">
        <v>8779</v>
      </c>
      <c r="AH96" s="1">
        <v>-6988</v>
      </c>
      <c r="AI96">
        <v>-7.79</v>
      </c>
      <c r="AJ96">
        <v>112.26</v>
      </c>
      <c r="AK96">
        <v>5.63</v>
      </c>
    </row>
    <row r="97" spans="1:37" x14ac:dyDescent="0.2">
      <c r="A97" t="s">
        <v>186</v>
      </c>
      <c r="B97">
        <v>531012</v>
      </c>
      <c r="C97" s="1">
        <v>4238</v>
      </c>
      <c r="D97" s="1">
        <v>665214</v>
      </c>
      <c r="E97" t="s">
        <v>38</v>
      </c>
      <c r="G97" s="1">
        <v>1315578</v>
      </c>
      <c r="H97" s="1">
        <v>211058</v>
      </c>
      <c r="I97" s="1">
        <v>425338</v>
      </c>
      <c r="J97" s="1">
        <v>-6463</v>
      </c>
      <c r="K97" s="1">
        <v>1122109</v>
      </c>
      <c r="L97" s="1">
        <v>217647</v>
      </c>
      <c r="M97" s="1">
        <v>355612</v>
      </c>
      <c r="N97" s="1">
        <v>4500</v>
      </c>
      <c r="S97" s="1">
        <v>1453740</v>
      </c>
      <c r="T97" s="1">
        <v>200540</v>
      </c>
      <c r="U97" s="1">
        <v>93526</v>
      </c>
      <c r="V97" s="1">
        <v>-7340</v>
      </c>
      <c r="W97" s="1">
        <v>1511738</v>
      </c>
      <c r="X97" s="1">
        <v>208318</v>
      </c>
      <c r="Y97" s="1">
        <v>117964</v>
      </c>
      <c r="Z97" s="1">
        <v>-3588</v>
      </c>
      <c r="AA97" s="1">
        <v>1315578</v>
      </c>
      <c r="AB97" s="1">
        <v>211058</v>
      </c>
      <c r="AC97" s="1">
        <v>96808</v>
      </c>
      <c r="AD97" s="1">
        <v>-2123</v>
      </c>
      <c r="AE97" s="1">
        <v>1278777</v>
      </c>
      <c r="AF97" s="1">
        <v>214054</v>
      </c>
      <c r="AG97" s="1">
        <v>101588</v>
      </c>
      <c r="AH97" s="1">
        <v>-10828</v>
      </c>
      <c r="AI97">
        <v>-22.21</v>
      </c>
      <c r="AJ97">
        <v>3.45</v>
      </c>
      <c r="AK97">
        <v>31.66</v>
      </c>
    </row>
    <row r="98" spans="1:37" x14ac:dyDescent="0.2">
      <c r="A98" t="s">
        <v>187</v>
      </c>
      <c r="B98">
        <v>1172295</v>
      </c>
      <c r="C98" s="1">
        <v>185.2</v>
      </c>
      <c r="D98" s="1">
        <v>19653</v>
      </c>
      <c r="E98" t="s">
        <v>38</v>
      </c>
      <c r="G98" s="1">
        <v>48359.22</v>
      </c>
      <c r="H98" s="1">
        <v>47998.17</v>
      </c>
      <c r="I98" s="1">
        <v>-19019.11</v>
      </c>
      <c r="J98" s="1">
        <v>-20693.080000000002</v>
      </c>
      <c r="K98" s="1">
        <v>69094.350000000006</v>
      </c>
      <c r="L98" s="1">
        <v>68314.55</v>
      </c>
      <c r="M98" s="1">
        <v>-12531.29</v>
      </c>
      <c r="N98" s="1">
        <v>-15175.37</v>
      </c>
      <c r="S98" s="1">
        <v>47491.25</v>
      </c>
      <c r="T98" s="1">
        <v>42038.720000000001</v>
      </c>
      <c r="U98" s="1">
        <v>3220.26</v>
      </c>
      <c r="V98" s="1">
        <v>2714.46</v>
      </c>
      <c r="AA98" s="1">
        <v>48359.22</v>
      </c>
      <c r="AB98" s="1">
        <v>47998.17</v>
      </c>
      <c r="AC98" s="1">
        <v>-11068.65</v>
      </c>
      <c r="AD98" s="1">
        <v>-11648.52</v>
      </c>
      <c r="AI98">
        <v>38.770000000000003</v>
      </c>
      <c r="AJ98">
        <v>70.19</v>
      </c>
      <c r="AK98">
        <v>35.9</v>
      </c>
    </row>
    <row r="99" spans="1:37" x14ac:dyDescent="0.2">
      <c r="A99" t="s">
        <v>188</v>
      </c>
      <c r="B99">
        <v>1082346</v>
      </c>
      <c r="C99" s="1">
        <v>108</v>
      </c>
      <c r="D99" s="1">
        <v>16534</v>
      </c>
      <c r="E99" t="s">
        <v>38</v>
      </c>
      <c r="G99" s="1">
        <v>6194</v>
      </c>
      <c r="H99" s="1">
        <v>5232</v>
      </c>
      <c r="J99" s="1">
        <v>-5953</v>
      </c>
      <c r="K99" s="1">
        <v>9106</v>
      </c>
      <c r="L99" s="1">
        <v>2653</v>
      </c>
      <c r="N99" s="1">
        <v>-7720</v>
      </c>
      <c r="S99" s="1">
        <v>13307</v>
      </c>
      <c r="T99" s="1">
        <v>12343</v>
      </c>
      <c r="V99" s="1">
        <v>-2389</v>
      </c>
      <c r="AA99" s="1">
        <v>6194</v>
      </c>
      <c r="AB99" s="1">
        <v>5232</v>
      </c>
      <c r="AD99" s="1">
        <v>-3093</v>
      </c>
      <c r="AI99">
        <v>-21.64</v>
      </c>
      <c r="AJ99">
        <v>-23.15</v>
      </c>
      <c r="AK99">
        <v>-95.17</v>
      </c>
    </row>
    <row r="100" spans="1:37" x14ac:dyDescent="0.2">
      <c r="A100" t="s">
        <v>189</v>
      </c>
      <c r="B100">
        <v>1096049</v>
      </c>
      <c r="C100" s="1">
        <v>16</v>
      </c>
      <c r="D100" s="1">
        <v>22238</v>
      </c>
      <c r="E100" t="s">
        <v>38</v>
      </c>
      <c r="G100" s="1">
        <v>33623</v>
      </c>
      <c r="H100" s="1">
        <v>22946</v>
      </c>
      <c r="I100" s="1">
        <v>25655</v>
      </c>
      <c r="J100" s="1">
        <v>-3148</v>
      </c>
      <c r="K100" s="1">
        <v>41955</v>
      </c>
      <c r="L100" s="1">
        <v>27305</v>
      </c>
      <c r="M100" s="1">
        <v>34767</v>
      </c>
      <c r="N100" s="1">
        <v>383</v>
      </c>
      <c r="S100" s="1">
        <v>28187</v>
      </c>
      <c r="T100" s="1">
        <v>19931</v>
      </c>
      <c r="U100" s="1">
        <v>9268</v>
      </c>
      <c r="V100" s="1">
        <v>-4563</v>
      </c>
      <c r="AA100" s="1">
        <v>33623</v>
      </c>
      <c r="AB100" s="1">
        <v>22946</v>
      </c>
      <c r="AC100" s="1">
        <v>8613</v>
      </c>
      <c r="AD100" s="1">
        <v>-5109</v>
      </c>
      <c r="AI100">
        <v>-30.13</v>
      </c>
      <c r="AJ100">
        <v>-37.01</v>
      </c>
      <c r="AK100">
        <v>-56.07</v>
      </c>
    </row>
    <row r="101" spans="1:37" x14ac:dyDescent="0.2">
      <c r="A101" t="s">
        <v>190</v>
      </c>
      <c r="B101">
        <v>1095223</v>
      </c>
      <c r="C101" s="1">
        <v>346.8</v>
      </c>
      <c r="D101" s="1">
        <v>31377</v>
      </c>
      <c r="E101" t="s">
        <v>38</v>
      </c>
      <c r="G101" s="1">
        <v>34122</v>
      </c>
      <c r="H101" s="1">
        <v>26879</v>
      </c>
      <c r="I101" s="1">
        <v>219</v>
      </c>
      <c r="J101" s="1">
        <v>-7142</v>
      </c>
      <c r="K101" s="1">
        <v>33452</v>
      </c>
      <c r="L101" s="1">
        <v>29776</v>
      </c>
      <c r="M101" s="1">
        <v>118</v>
      </c>
      <c r="N101" s="1">
        <v>-26020</v>
      </c>
      <c r="S101" s="1">
        <v>26668</v>
      </c>
      <c r="T101" s="1">
        <v>20576</v>
      </c>
      <c r="V101" s="1">
        <v>-6107</v>
      </c>
      <c r="W101" s="1">
        <v>31482</v>
      </c>
      <c r="X101" s="1">
        <v>24650</v>
      </c>
      <c r="Z101" s="1">
        <v>-2422</v>
      </c>
      <c r="AA101" s="1">
        <v>34122</v>
      </c>
      <c r="AB101" s="1">
        <v>26879</v>
      </c>
      <c r="AC101" s="1">
        <v>-29</v>
      </c>
      <c r="AD101" s="1">
        <v>-8730</v>
      </c>
      <c r="AE101" s="1">
        <v>32758</v>
      </c>
      <c r="AF101" s="1">
        <v>28911</v>
      </c>
      <c r="AG101" s="1">
        <v>84</v>
      </c>
      <c r="AH101" s="1">
        <v>-2402</v>
      </c>
      <c r="AI101">
        <v>-31.83</v>
      </c>
      <c r="AJ101">
        <v>-39.72</v>
      </c>
      <c r="AK101">
        <v>-63.2</v>
      </c>
    </row>
    <row r="102" spans="1:37" x14ac:dyDescent="0.2">
      <c r="A102" t="s">
        <v>191</v>
      </c>
      <c r="B102">
        <v>1101518</v>
      </c>
      <c r="C102" s="1">
        <v>1.8</v>
      </c>
      <c r="D102" s="1">
        <v>46995</v>
      </c>
      <c r="E102" t="s">
        <v>38</v>
      </c>
      <c r="G102" s="1">
        <v>141890.18</v>
      </c>
      <c r="H102" s="1">
        <v>49092.27</v>
      </c>
      <c r="I102" s="1">
        <v>105544.18</v>
      </c>
      <c r="J102" s="1">
        <v>-33628.99</v>
      </c>
      <c r="K102" s="1">
        <v>231855.98</v>
      </c>
      <c r="L102" s="1">
        <v>47959.82</v>
      </c>
      <c r="M102" s="1">
        <v>17409.599999999999</v>
      </c>
      <c r="N102" s="1">
        <v>-219846.98</v>
      </c>
      <c r="O102" s="1">
        <v>131592.01999999999</v>
      </c>
      <c r="P102" s="1">
        <v>64576.1</v>
      </c>
      <c r="Q102" s="1">
        <v>1411.66</v>
      </c>
      <c r="R102" s="1">
        <v>-3229.96</v>
      </c>
      <c r="S102" s="1">
        <v>145896.32000000001</v>
      </c>
      <c r="T102" s="1">
        <v>67682.78</v>
      </c>
      <c r="U102" s="1">
        <v>1025.0899999999999</v>
      </c>
      <c r="V102" s="1">
        <v>-13285.68</v>
      </c>
      <c r="W102" s="1">
        <v>161770.18</v>
      </c>
      <c r="X102" s="1">
        <v>77564.91</v>
      </c>
      <c r="Y102" s="1">
        <v>948.09</v>
      </c>
      <c r="Z102" s="1">
        <v>19062.189999999999</v>
      </c>
      <c r="AA102" s="1">
        <v>141890.18</v>
      </c>
      <c r="AB102" s="1">
        <v>49092.27</v>
      </c>
      <c r="AC102" s="1">
        <v>42848.6</v>
      </c>
      <c r="AD102" s="1">
        <v>-11622.99</v>
      </c>
      <c r="AE102" s="1">
        <v>195672.82</v>
      </c>
      <c r="AF102" s="1">
        <v>31553.55</v>
      </c>
      <c r="AG102" s="1">
        <v>18338.53</v>
      </c>
      <c r="AH102" s="1">
        <v>-21599.62</v>
      </c>
      <c r="AI102">
        <v>-9.52</v>
      </c>
      <c r="AJ102">
        <v>-76.540000000000006</v>
      </c>
      <c r="AK102">
        <v>-88.69</v>
      </c>
    </row>
    <row r="103" spans="1:37" x14ac:dyDescent="0.2">
      <c r="A103" t="s">
        <v>192</v>
      </c>
      <c r="B103">
        <v>1173905</v>
      </c>
      <c r="C103" s="1">
        <v>32.6</v>
      </c>
      <c r="D103" s="1">
        <v>43200</v>
      </c>
      <c r="E103" t="s">
        <v>38</v>
      </c>
      <c r="G103" s="1">
        <v>36786</v>
      </c>
      <c r="H103" s="1">
        <v>29320</v>
      </c>
      <c r="I103" s="1">
        <v>328</v>
      </c>
      <c r="J103" s="1">
        <v>-7878</v>
      </c>
      <c r="K103" s="1">
        <v>49000</v>
      </c>
      <c r="L103" s="1">
        <v>36985</v>
      </c>
      <c r="M103" s="1">
        <v>384</v>
      </c>
      <c r="N103" s="1">
        <v>-6672</v>
      </c>
      <c r="S103" s="1">
        <v>35666</v>
      </c>
      <c r="T103" s="1">
        <v>28199</v>
      </c>
      <c r="V103" s="1">
        <v>-1515</v>
      </c>
      <c r="AA103" s="1">
        <v>36786</v>
      </c>
      <c r="AB103" s="1">
        <v>29320</v>
      </c>
      <c r="AC103" s="1">
        <v>143</v>
      </c>
      <c r="AD103" s="1">
        <v>-5771</v>
      </c>
      <c r="AI103">
        <v>-24.05</v>
      </c>
      <c r="AJ103">
        <v>-26.16</v>
      </c>
      <c r="AK103">
        <v>-78.7</v>
      </c>
    </row>
    <row r="104" spans="1:37" x14ac:dyDescent="0.2">
      <c r="A104" t="s">
        <v>193</v>
      </c>
      <c r="B104">
        <v>1175561</v>
      </c>
      <c r="C104" s="1">
        <v>167.9</v>
      </c>
      <c r="D104" s="1">
        <v>7185</v>
      </c>
      <c r="E104" t="s">
        <v>38</v>
      </c>
      <c r="G104" s="1">
        <v>1781</v>
      </c>
      <c r="H104" s="1">
        <v>838</v>
      </c>
      <c r="J104" s="1">
        <v>-3029</v>
      </c>
      <c r="K104" s="1">
        <v>10725</v>
      </c>
      <c r="L104" s="1">
        <v>3671</v>
      </c>
      <c r="N104" s="1">
        <v>-13929</v>
      </c>
      <c r="S104" s="1">
        <v>583</v>
      </c>
      <c r="T104" s="1">
        <v>114</v>
      </c>
      <c r="V104" s="1">
        <v>-1112</v>
      </c>
      <c r="AA104" s="1">
        <v>1781</v>
      </c>
      <c r="AB104" s="1">
        <v>838</v>
      </c>
      <c r="AD104" s="1">
        <v>-1995</v>
      </c>
      <c r="AI104">
        <v>-12.55</v>
      </c>
      <c r="AJ104">
        <v>-52.57</v>
      </c>
      <c r="AK104">
        <v>-92.04</v>
      </c>
    </row>
    <row r="105" spans="1:37" x14ac:dyDescent="0.2">
      <c r="A105" t="s">
        <v>194</v>
      </c>
      <c r="B105">
        <v>530014</v>
      </c>
      <c r="C105" s="1">
        <v>1232</v>
      </c>
      <c r="D105" s="1">
        <v>135517</v>
      </c>
      <c r="E105" t="s">
        <v>195</v>
      </c>
      <c r="G105" s="1">
        <v>397123</v>
      </c>
      <c r="H105" s="1">
        <v>102532</v>
      </c>
      <c r="I105" s="1">
        <v>353866</v>
      </c>
      <c r="J105" s="1">
        <v>6972</v>
      </c>
      <c r="K105" s="1">
        <v>409521</v>
      </c>
      <c r="L105" s="1">
        <v>96779</v>
      </c>
      <c r="M105" s="1">
        <v>367429</v>
      </c>
      <c r="N105" s="1">
        <v>-3665</v>
      </c>
      <c r="S105" s="1">
        <v>416483</v>
      </c>
      <c r="T105" s="1">
        <v>98788</v>
      </c>
      <c r="U105" s="1">
        <v>183120</v>
      </c>
      <c r="V105" s="1">
        <v>2256</v>
      </c>
      <c r="AA105" s="1">
        <v>397123</v>
      </c>
      <c r="AB105" s="1">
        <v>102532</v>
      </c>
      <c r="AC105" s="1">
        <v>189395</v>
      </c>
      <c r="AD105" s="1">
        <v>4839</v>
      </c>
      <c r="AI105">
        <v>12.58</v>
      </c>
      <c r="AJ105">
        <v>38.130000000000003</v>
      </c>
      <c r="AK105">
        <v>-31.58</v>
      </c>
    </row>
    <row r="106" spans="1:37" x14ac:dyDescent="0.2">
      <c r="A106" t="s">
        <v>196</v>
      </c>
      <c r="B106">
        <v>1183656</v>
      </c>
      <c r="C106" s="1">
        <v>1474</v>
      </c>
      <c r="D106" s="1">
        <v>1030821</v>
      </c>
      <c r="E106" t="s">
        <v>197</v>
      </c>
      <c r="G106" s="1">
        <v>2007219</v>
      </c>
      <c r="H106" s="1">
        <v>1156426</v>
      </c>
      <c r="I106" s="1">
        <v>103398</v>
      </c>
      <c r="J106" s="1">
        <v>133185</v>
      </c>
      <c r="K106" s="1">
        <v>1827906</v>
      </c>
      <c r="L106" s="1">
        <v>1052156</v>
      </c>
      <c r="M106" s="1">
        <v>99100</v>
      </c>
      <c r="N106" s="1">
        <v>125664</v>
      </c>
      <c r="S106" s="1">
        <v>2129678</v>
      </c>
      <c r="T106" s="1">
        <v>1153592</v>
      </c>
      <c r="U106" s="1">
        <v>27305</v>
      </c>
      <c r="V106" s="1">
        <v>15359</v>
      </c>
      <c r="W106" s="1">
        <v>2024643</v>
      </c>
      <c r="X106" s="1">
        <v>1134621</v>
      </c>
      <c r="Y106" s="1">
        <v>26375</v>
      </c>
      <c r="Z106" s="1">
        <v>7913</v>
      </c>
      <c r="AA106" s="1">
        <v>2007219</v>
      </c>
      <c r="AB106" s="1">
        <v>1156426</v>
      </c>
      <c r="AC106" s="1">
        <v>26431</v>
      </c>
      <c r="AD106" s="1">
        <v>86679</v>
      </c>
      <c r="AE106" s="1">
        <v>1875334</v>
      </c>
      <c r="AF106" s="1">
        <v>1069505</v>
      </c>
      <c r="AG106" s="1">
        <v>26134</v>
      </c>
      <c r="AH106" s="1">
        <v>3907</v>
      </c>
      <c r="AI106">
        <v>-0.41</v>
      </c>
      <c r="AJ106">
        <v>14.16</v>
      </c>
      <c r="AK106">
        <v>63.44</v>
      </c>
    </row>
    <row r="107" spans="1:37" x14ac:dyDescent="0.2">
      <c r="A107" t="s">
        <v>198</v>
      </c>
      <c r="B107">
        <v>235010</v>
      </c>
      <c r="C107" s="1">
        <v>1154</v>
      </c>
      <c r="D107" s="1">
        <v>179061</v>
      </c>
      <c r="E107" t="s">
        <v>199</v>
      </c>
      <c r="G107" s="1">
        <v>655500</v>
      </c>
      <c r="H107" s="1">
        <v>458680</v>
      </c>
      <c r="I107" s="1">
        <v>39820</v>
      </c>
      <c r="J107" s="1">
        <v>115624</v>
      </c>
      <c r="K107" s="1">
        <v>629951</v>
      </c>
      <c r="L107" s="1">
        <v>350599</v>
      </c>
      <c r="M107" s="1">
        <v>54296</v>
      </c>
      <c r="N107" s="1">
        <v>16147</v>
      </c>
      <c r="S107" s="1">
        <v>403112</v>
      </c>
      <c r="T107" s="1">
        <v>266019</v>
      </c>
      <c r="U107" s="1">
        <v>11107</v>
      </c>
      <c r="V107" s="1">
        <v>102</v>
      </c>
      <c r="W107" s="1">
        <v>659012</v>
      </c>
      <c r="X107" s="1">
        <v>265917</v>
      </c>
      <c r="Y107" s="1">
        <v>11262</v>
      </c>
      <c r="Z107" s="1">
        <v>2237</v>
      </c>
      <c r="AA107" s="1">
        <v>655500</v>
      </c>
      <c r="AB107" s="1">
        <v>458680</v>
      </c>
      <c r="AC107" s="1">
        <v>11308</v>
      </c>
      <c r="AD107" s="1">
        <v>-616</v>
      </c>
      <c r="AE107" s="1">
        <v>708692</v>
      </c>
      <c r="AF107" s="1">
        <v>479124</v>
      </c>
      <c r="AG107" s="1">
        <v>9616</v>
      </c>
      <c r="AH107" s="1">
        <v>109017</v>
      </c>
      <c r="AI107">
        <v>-11.55</v>
      </c>
      <c r="AJ107">
        <v>3.86</v>
      </c>
      <c r="AK107">
        <v>90.98</v>
      </c>
    </row>
    <row r="108" spans="1:37" x14ac:dyDescent="0.2">
      <c r="A108" t="s">
        <v>200</v>
      </c>
      <c r="B108">
        <v>1185362</v>
      </c>
      <c r="C108" s="1">
        <v>752</v>
      </c>
      <c r="D108" s="1">
        <v>415076</v>
      </c>
      <c r="E108" t="s">
        <v>38</v>
      </c>
      <c r="G108" s="1">
        <v>421111</v>
      </c>
      <c r="H108" s="1">
        <v>252648</v>
      </c>
      <c r="I108" s="1">
        <v>141440</v>
      </c>
      <c r="J108" s="1">
        <v>-2958</v>
      </c>
      <c r="K108" s="1">
        <v>368230</v>
      </c>
      <c r="L108" s="1">
        <v>252827</v>
      </c>
      <c r="M108" s="1">
        <v>131038</v>
      </c>
      <c r="N108" s="1">
        <v>-6353</v>
      </c>
      <c r="O108" s="1">
        <v>734892</v>
      </c>
      <c r="P108" s="1">
        <v>241654</v>
      </c>
      <c r="Q108" s="1">
        <v>25213</v>
      </c>
      <c r="R108" s="1">
        <v>-4442</v>
      </c>
      <c r="S108" s="1">
        <v>591893</v>
      </c>
      <c r="T108" s="1">
        <v>245528</v>
      </c>
      <c r="U108" s="1">
        <v>32183</v>
      </c>
      <c r="V108" s="1">
        <v>-4581</v>
      </c>
      <c r="W108" s="1">
        <v>486136</v>
      </c>
      <c r="X108" s="1">
        <v>249338</v>
      </c>
      <c r="Y108" s="1">
        <v>25667</v>
      </c>
      <c r="Z108" s="1">
        <v>-4050</v>
      </c>
      <c r="AA108" s="1">
        <v>421111</v>
      </c>
      <c r="AB108" s="1">
        <v>252648</v>
      </c>
      <c r="AC108" s="1">
        <v>26021</v>
      </c>
      <c r="AD108" s="1">
        <v>-1696</v>
      </c>
      <c r="AE108" s="1">
        <v>332371</v>
      </c>
      <c r="AF108" s="1">
        <v>254021</v>
      </c>
      <c r="AG108" s="1">
        <v>48243</v>
      </c>
      <c r="AH108" s="1">
        <v>2277</v>
      </c>
      <c r="AI108">
        <v>-5.4</v>
      </c>
      <c r="AJ108">
        <v>-5.0199999999999996</v>
      </c>
      <c r="AK108">
        <v>29.89</v>
      </c>
    </row>
    <row r="109" spans="1:37" x14ac:dyDescent="0.2">
      <c r="A109" t="s">
        <v>201</v>
      </c>
      <c r="B109">
        <v>1198910</v>
      </c>
      <c r="C109" s="1">
        <v>5729</v>
      </c>
      <c r="D109" s="1">
        <v>715771</v>
      </c>
      <c r="E109" t="s">
        <v>38</v>
      </c>
      <c r="G109" s="1">
        <v>5069330.0999999996</v>
      </c>
      <c r="H109" s="1">
        <v>1735972.04</v>
      </c>
      <c r="I109" s="1">
        <v>11728752.24</v>
      </c>
      <c r="J109" s="1">
        <v>-123998</v>
      </c>
      <c r="K109" s="1">
        <v>4994379.13</v>
      </c>
      <c r="L109" s="1">
        <v>2049255.05</v>
      </c>
      <c r="M109" s="1">
        <v>13688298.35</v>
      </c>
      <c r="N109" s="1">
        <v>420732.01</v>
      </c>
      <c r="O109" s="1">
        <v>4760639.99</v>
      </c>
      <c r="P109" s="1">
        <v>1206690</v>
      </c>
      <c r="Q109" s="1">
        <v>2925809.99</v>
      </c>
      <c r="R109" s="1">
        <v>-360354</v>
      </c>
      <c r="S109" s="1">
        <v>5007419.97</v>
      </c>
      <c r="T109" s="1">
        <v>1598327.99</v>
      </c>
      <c r="U109" s="1">
        <v>2252495.9900000002</v>
      </c>
      <c r="V109" s="1">
        <v>-20232</v>
      </c>
      <c r="W109" s="1">
        <v>5201481.91</v>
      </c>
      <c r="X109" s="1">
        <v>1784639.97</v>
      </c>
      <c r="Y109" s="1">
        <v>2743883.95</v>
      </c>
      <c r="Z109" s="1">
        <v>14872</v>
      </c>
      <c r="AA109" s="1">
        <v>5069330.0999999996</v>
      </c>
      <c r="AB109" s="1">
        <v>1735972.04</v>
      </c>
      <c r="AC109" s="1">
        <v>2593017.0499999998</v>
      </c>
      <c r="AD109" s="1">
        <v>-29176</v>
      </c>
      <c r="AE109" s="1">
        <v>4893490.05</v>
      </c>
      <c r="AF109" s="1">
        <v>1795640.02</v>
      </c>
      <c r="AG109" s="1">
        <v>3131240.03</v>
      </c>
      <c r="AH109" s="1">
        <v>-51940</v>
      </c>
      <c r="AI109">
        <v>9.74</v>
      </c>
      <c r="AJ109">
        <v>-1.02</v>
      </c>
      <c r="AK109">
        <v>0</v>
      </c>
    </row>
    <row r="110" spans="1:37" x14ac:dyDescent="0.2">
      <c r="A110" t="s">
        <v>202</v>
      </c>
      <c r="B110">
        <v>1172618</v>
      </c>
      <c r="C110" s="1">
        <v>460.3</v>
      </c>
      <c r="D110" s="1">
        <v>689268</v>
      </c>
      <c r="E110" t="s">
        <v>203</v>
      </c>
      <c r="G110" s="1">
        <v>1253639</v>
      </c>
      <c r="H110" s="1">
        <v>405596</v>
      </c>
      <c r="I110" s="1">
        <v>2210841</v>
      </c>
      <c r="J110" s="1">
        <v>58706</v>
      </c>
      <c r="K110" s="1">
        <v>1147297</v>
      </c>
      <c r="L110" s="1">
        <v>357087</v>
      </c>
      <c r="M110" s="1">
        <v>1777272</v>
      </c>
      <c r="N110" s="1">
        <v>39816</v>
      </c>
      <c r="O110" s="1">
        <v>1331489</v>
      </c>
      <c r="P110" s="1">
        <v>431021</v>
      </c>
      <c r="Q110" s="1">
        <v>551566</v>
      </c>
      <c r="R110" s="1">
        <v>13775</v>
      </c>
      <c r="S110" s="1">
        <v>1336766</v>
      </c>
      <c r="T110" s="1">
        <v>424246</v>
      </c>
      <c r="U110" s="1">
        <v>573621</v>
      </c>
      <c r="V110" s="1">
        <v>19900</v>
      </c>
      <c r="W110" s="1">
        <v>1244638</v>
      </c>
      <c r="X110" s="1">
        <v>409346</v>
      </c>
      <c r="Y110" s="1">
        <v>476965</v>
      </c>
      <c r="Z110" s="1">
        <v>13750</v>
      </c>
      <c r="AA110" s="1">
        <v>1253639</v>
      </c>
      <c r="AB110" s="1">
        <v>405596</v>
      </c>
      <c r="AC110" s="1">
        <v>532043</v>
      </c>
      <c r="AD110" s="1">
        <v>13094</v>
      </c>
      <c r="AE110" s="1">
        <v>1303273</v>
      </c>
      <c r="AF110" s="1">
        <v>395699</v>
      </c>
      <c r="AG110" s="1">
        <v>612173</v>
      </c>
      <c r="AH110" s="1">
        <v>14368</v>
      </c>
      <c r="AI110">
        <v>27.15</v>
      </c>
      <c r="AJ110">
        <v>39.020000000000003</v>
      </c>
      <c r="AK110">
        <v>55.32</v>
      </c>
    </row>
    <row r="111" spans="1:37" x14ac:dyDescent="0.2">
      <c r="A111" t="s">
        <v>204</v>
      </c>
      <c r="B111">
        <v>1172337</v>
      </c>
      <c r="C111" s="1">
        <v>32570</v>
      </c>
      <c r="D111" s="1">
        <v>541598</v>
      </c>
      <c r="E111" t="s">
        <v>205</v>
      </c>
      <c r="G111" s="1">
        <v>822991</v>
      </c>
      <c r="H111" s="1">
        <v>189443</v>
      </c>
      <c r="I111" s="1">
        <v>72680</v>
      </c>
      <c r="J111" s="1">
        <v>35472</v>
      </c>
      <c r="K111" s="1">
        <v>692506</v>
      </c>
      <c r="L111" s="1">
        <v>138241</v>
      </c>
      <c r="M111" s="1">
        <v>93174</v>
      </c>
      <c r="N111" s="1">
        <v>43816</v>
      </c>
      <c r="O111" s="1">
        <v>1059179</v>
      </c>
      <c r="P111" s="1">
        <v>211532</v>
      </c>
      <c r="Q111" s="1">
        <v>30817</v>
      </c>
      <c r="R111" s="1">
        <v>11021</v>
      </c>
      <c r="S111" s="1">
        <v>987587</v>
      </c>
      <c r="T111" s="1">
        <v>209062</v>
      </c>
      <c r="U111" s="1">
        <v>14245</v>
      </c>
      <c r="V111" s="1">
        <v>9502</v>
      </c>
      <c r="W111" s="1">
        <v>907659</v>
      </c>
      <c r="X111" s="1">
        <v>195050</v>
      </c>
      <c r="Y111" s="1">
        <v>15785</v>
      </c>
      <c r="Z111" s="1">
        <v>7759</v>
      </c>
      <c r="AA111" s="1">
        <v>822991</v>
      </c>
      <c r="AB111" s="1">
        <v>189443</v>
      </c>
      <c r="AC111" s="1">
        <v>9621</v>
      </c>
      <c r="AD111" s="1">
        <v>9105</v>
      </c>
      <c r="AE111" s="1">
        <v>771485</v>
      </c>
      <c r="AF111" s="1">
        <v>167352</v>
      </c>
      <c r="AG111" s="1">
        <v>28714</v>
      </c>
      <c r="AH111" s="1">
        <v>9587</v>
      </c>
      <c r="AI111">
        <v>17.899999999999999</v>
      </c>
      <c r="AJ111">
        <v>55.24</v>
      </c>
      <c r="AK111">
        <v>60.06</v>
      </c>
    </row>
    <row r="112" spans="1:37" x14ac:dyDescent="0.2">
      <c r="A112" t="s">
        <v>206</v>
      </c>
      <c r="B112">
        <v>1212539</v>
      </c>
      <c r="C112" s="1">
        <v>4000</v>
      </c>
      <c r="D112" s="1">
        <v>1520051</v>
      </c>
      <c r="E112" t="s">
        <v>207</v>
      </c>
      <c r="G112" s="1">
        <v>921807</v>
      </c>
      <c r="H112" s="1">
        <v>210904</v>
      </c>
      <c r="I112" s="1">
        <v>1232471</v>
      </c>
      <c r="J112" s="1">
        <v>97362</v>
      </c>
      <c r="K112" s="1">
        <v>744551</v>
      </c>
      <c r="L112" s="1">
        <v>139445</v>
      </c>
      <c r="M112" s="1">
        <v>1009463</v>
      </c>
      <c r="N112" s="1">
        <v>-31540</v>
      </c>
      <c r="O112" s="1">
        <v>978783</v>
      </c>
      <c r="P112" s="1">
        <v>465338</v>
      </c>
      <c r="Q112" s="1">
        <v>428617</v>
      </c>
      <c r="R112" s="1">
        <v>32499</v>
      </c>
      <c r="S112" s="1">
        <v>916614</v>
      </c>
      <c r="T112" s="1">
        <v>443197</v>
      </c>
      <c r="U112" s="1">
        <v>355651</v>
      </c>
      <c r="V112" s="1">
        <v>25508</v>
      </c>
      <c r="W112" s="1">
        <v>1020683</v>
      </c>
      <c r="X112" s="1">
        <v>428093</v>
      </c>
      <c r="Y112" s="1">
        <v>394942</v>
      </c>
      <c r="Z112" s="1">
        <v>30183</v>
      </c>
      <c r="AA112" s="1">
        <v>921807</v>
      </c>
      <c r="AB112" s="1">
        <v>210904</v>
      </c>
      <c r="AC112" s="1">
        <v>314606</v>
      </c>
      <c r="AD112" s="1">
        <v>26826</v>
      </c>
      <c r="AE112" s="1">
        <v>912506</v>
      </c>
      <c r="AF112" s="1">
        <v>210098</v>
      </c>
      <c r="AG112" s="1">
        <v>376586</v>
      </c>
      <c r="AH112" s="1">
        <v>33862</v>
      </c>
      <c r="AI112">
        <v>12.72</v>
      </c>
      <c r="AJ112">
        <v>0</v>
      </c>
      <c r="AK112">
        <v>0</v>
      </c>
    </row>
    <row r="113" spans="1:37" x14ac:dyDescent="0.2">
      <c r="A113" t="s">
        <v>208</v>
      </c>
      <c r="B113">
        <v>1096890</v>
      </c>
      <c r="C113" s="1">
        <v>208</v>
      </c>
      <c r="D113" s="1">
        <v>9346</v>
      </c>
      <c r="E113" t="s">
        <v>38</v>
      </c>
      <c r="G113" s="1">
        <v>1513</v>
      </c>
      <c r="H113" s="1">
        <v>-262</v>
      </c>
      <c r="J113" s="1">
        <v>-3129</v>
      </c>
      <c r="K113" s="1">
        <v>7102</v>
      </c>
      <c r="L113" s="1">
        <v>761</v>
      </c>
      <c r="N113" s="1">
        <v>-9734</v>
      </c>
      <c r="S113" s="1">
        <v>1604</v>
      </c>
      <c r="T113" s="1">
        <v>-103</v>
      </c>
      <c r="V113" s="1">
        <v>-829</v>
      </c>
      <c r="AA113" s="1">
        <v>1513</v>
      </c>
      <c r="AB113" s="1">
        <v>-262</v>
      </c>
      <c r="AD113" s="1">
        <v>-1237</v>
      </c>
      <c r="AI113">
        <v>-11.02</v>
      </c>
      <c r="AJ113">
        <v>80.41</v>
      </c>
      <c r="AK113">
        <v>-84.04</v>
      </c>
    </row>
    <row r="114" spans="1:37" x14ac:dyDescent="0.2">
      <c r="A114" t="s">
        <v>209</v>
      </c>
      <c r="B114">
        <v>1170513</v>
      </c>
      <c r="C114" s="1">
        <v>44.2</v>
      </c>
      <c r="D114" s="1">
        <v>20617</v>
      </c>
      <c r="E114" t="s">
        <v>38</v>
      </c>
      <c r="G114" s="1">
        <v>5856</v>
      </c>
      <c r="H114" s="1">
        <v>3704</v>
      </c>
      <c r="I114" s="1">
        <v>83</v>
      </c>
      <c r="J114" s="1">
        <v>-14094</v>
      </c>
      <c r="K114" s="1">
        <v>1735</v>
      </c>
      <c r="L114" s="1">
        <v>-883</v>
      </c>
      <c r="M114" s="1">
        <v>20</v>
      </c>
      <c r="N114" s="1">
        <v>-3825</v>
      </c>
      <c r="S114" s="1">
        <v>11372</v>
      </c>
      <c r="T114" s="1">
        <v>9548</v>
      </c>
      <c r="U114" s="1">
        <v>79</v>
      </c>
      <c r="V114" s="1">
        <v>5536</v>
      </c>
      <c r="AA114" s="1">
        <v>5856</v>
      </c>
      <c r="AB114" s="1">
        <v>3704</v>
      </c>
      <c r="AC114" s="1">
        <v>83</v>
      </c>
      <c r="AD114" s="1">
        <v>-3253</v>
      </c>
      <c r="AI114">
        <v>20.32</v>
      </c>
      <c r="AJ114">
        <v>-20.91</v>
      </c>
      <c r="AK114">
        <v>-90.48</v>
      </c>
    </row>
    <row r="115" spans="1:37" x14ac:dyDescent="0.2">
      <c r="A115" t="s">
        <v>210</v>
      </c>
      <c r="B115">
        <v>424010</v>
      </c>
      <c r="C115" s="1">
        <v>402.1</v>
      </c>
      <c r="D115" s="1">
        <v>21714</v>
      </c>
      <c r="E115" t="s">
        <v>38</v>
      </c>
      <c r="G115" s="1">
        <v>11094</v>
      </c>
      <c r="H115" s="1">
        <v>1884</v>
      </c>
      <c r="I115" s="1">
        <v>6113</v>
      </c>
      <c r="J115" s="1">
        <v>-7268</v>
      </c>
      <c r="K115" s="1">
        <v>13558</v>
      </c>
      <c r="L115" s="1">
        <v>3144</v>
      </c>
      <c r="M115" s="1">
        <v>9319</v>
      </c>
      <c r="N115" s="1">
        <v>-12914</v>
      </c>
      <c r="S115" s="1">
        <v>8665</v>
      </c>
      <c r="T115" s="1">
        <v>-1136</v>
      </c>
      <c r="U115" s="1">
        <v>1607</v>
      </c>
      <c r="V115" s="1">
        <v>-2878</v>
      </c>
      <c r="AA115" s="1">
        <v>11094</v>
      </c>
      <c r="AB115" s="1">
        <v>1884</v>
      </c>
      <c r="AC115" s="1">
        <v>2569</v>
      </c>
      <c r="AD115" s="1">
        <v>-3194</v>
      </c>
      <c r="AI115">
        <v>18.579999999999998</v>
      </c>
      <c r="AJ115">
        <v>21.33</v>
      </c>
      <c r="AK115">
        <v>-93.33</v>
      </c>
    </row>
    <row r="116" spans="1:37" x14ac:dyDescent="0.2">
      <c r="A116" t="s">
        <v>211</v>
      </c>
      <c r="B116">
        <v>1172097</v>
      </c>
      <c r="C116" s="1">
        <v>484.8</v>
      </c>
      <c r="D116" s="1">
        <v>72064</v>
      </c>
      <c r="E116" t="s">
        <v>38</v>
      </c>
      <c r="G116" s="1">
        <v>177226</v>
      </c>
      <c r="H116" s="1">
        <v>37032</v>
      </c>
      <c r="I116" s="1">
        <v>21622</v>
      </c>
      <c r="J116" s="1">
        <v>-14191</v>
      </c>
      <c r="K116" s="1">
        <v>206188</v>
      </c>
      <c r="L116" s="1">
        <v>51416</v>
      </c>
      <c r="M116" s="1">
        <v>22474</v>
      </c>
      <c r="N116" s="1">
        <v>-15992</v>
      </c>
      <c r="S116" s="1">
        <v>170073</v>
      </c>
      <c r="T116" s="1">
        <v>34042</v>
      </c>
      <c r="U116" s="1">
        <v>12731</v>
      </c>
      <c r="V116" s="1">
        <v>-3065</v>
      </c>
      <c r="AA116" s="1">
        <v>177226</v>
      </c>
      <c r="AB116" s="1">
        <v>37032</v>
      </c>
      <c r="AC116" s="1">
        <v>11218</v>
      </c>
      <c r="AD116" s="1">
        <v>-8098</v>
      </c>
      <c r="AI116">
        <v>24.13</v>
      </c>
      <c r="AJ116">
        <v>57.95</v>
      </c>
      <c r="AK116">
        <v>0.24</v>
      </c>
    </row>
    <row r="117" spans="1:37" x14ac:dyDescent="0.2">
      <c r="A117" t="s">
        <v>212</v>
      </c>
      <c r="B117">
        <v>1100718</v>
      </c>
      <c r="C117" s="1">
        <v>2605</v>
      </c>
      <c r="D117" s="1">
        <v>1019291</v>
      </c>
      <c r="E117" t="s">
        <v>213</v>
      </c>
      <c r="G117" s="1">
        <v>343970.46</v>
      </c>
      <c r="H117" s="1">
        <v>227255.52</v>
      </c>
      <c r="I117" s="1">
        <v>149585.35999999999</v>
      </c>
      <c r="J117" s="1">
        <v>10652.89</v>
      </c>
      <c r="K117" s="1">
        <v>228399.45</v>
      </c>
      <c r="L117" s="1">
        <v>150814.29</v>
      </c>
      <c r="M117" s="1">
        <v>115284.2</v>
      </c>
      <c r="N117" s="1">
        <v>-15222.52</v>
      </c>
      <c r="O117" s="1">
        <v>373782.97</v>
      </c>
      <c r="P117" s="1">
        <v>231634.89</v>
      </c>
      <c r="Q117" s="1">
        <v>44670.67</v>
      </c>
      <c r="R117" s="1">
        <v>5177.2</v>
      </c>
      <c r="S117" s="1">
        <v>376193.81</v>
      </c>
      <c r="T117" s="1">
        <v>229741.1</v>
      </c>
      <c r="U117" s="1">
        <v>42595.1</v>
      </c>
      <c r="V117" s="1">
        <v>6835.04</v>
      </c>
      <c r="W117" s="1">
        <v>372536.16</v>
      </c>
      <c r="X117" s="1">
        <v>237022.5</v>
      </c>
      <c r="Y117" s="1">
        <v>42890.85</v>
      </c>
      <c r="Z117" s="1">
        <v>4115.83</v>
      </c>
      <c r="AA117" s="1">
        <v>343970.46</v>
      </c>
      <c r="AB117" s="1">
        <v>227255.52</v>
      </c>
      <c r="AC117" s="1">
        <v>41626.86</v>
      </c>
      <c r="AD117" s="1">
        <v>5645.56</v>
      </c>
      <c r="AE117" s="1">
        <v>267491</v>
      </c>
      <c r="AF117" s="1">
        <v>163343.88</v>
      </c>
      <c r="AG117" s="1">
        <v>38962.42</v>
      </c>
      <c r="AH117" s="1">
        <v>2456.02</v>
      </c>
      <c r="AI117">
        <v>-2.75</v>
      </c>
      <c r="AJ117">
        <v>42.3</v>
      </c>
      <c r="AK117">
        <v>622.38</v>
      </c>
    </row>
    <row r="118" spans="1:37" x14ac:dyDescent="0.2">
      <c r="A118" t="s">
        <v>214</v>
      </c>
      <c r="B118">
        <v>399014</v>
      </c>
      <c r="C118" s="1">
        <v>1433</v>
      </c>
      <c r="D118" s="1">
        <v>86446</v>
      </c>
      <c r="E118" t="s">
        <v>38</v>
      </c>
      <c r="G118" s="1">
        <v>558267</v>
      </c>
      <c r="H118" s="1">
        <v>138100</v>
      </c>
      <c r="I118" s="1">
        <v>579176</v>
      </c>
      <c r="J118" s="1">
        <v>3191</v>
      </c>
      <c r="K118" s="1">
        <v>589456</v>
      </c>
      <c r="L118" s="1">
        <v>134565</v>
      </c>
      <c r="M118" s="1">
        <v>520659</v>
      </c>
      <c r="N118" s="1">
        <v>-23241</v>
      </c>
      <c r="O118" s="1">
        <v>605110</v>
      </c>
      <c r="P118" s="1">
        <v>135563</v>
      </c>
      <c r="Q118" s="1">
        <v>145713</v>
      </c>
      <c r="R118" s="1">
        <v>355</v>
      </c>
      <c r="S118" s="1">
        <v>595934</v>
      </c>
      <c r="T118" s="1">
        <v>135075</v>
      </c>
      <c r="U118" s="1">
        <v>126381</v>
      </c>
      <c r="V118" s="1">
        <v>-7416</v>
      </c>
      <c r="W118" s="1">
        <v>642005</v>
      </c>
      <c r="X118" s="1">
        <v>142357</v>
      </c>
      <c r="Y118" s="1">
        <v>154357</v>
      </c>
      <c r="Z118" s="1">
        <v>4126</v>
      </c>
      <c r="AA118" s="1">
        <v>558267</v>
      </c>
      <c r="AB118" s="1">
        <v>138100</v>
      </c>
      <c r="AC118" s="1">
        <v>147895</v>
      </c>
      <c r="AD118" s="1">
        <v>-1534</v>
      </c>
      <c r="AE118" s="1">
        <v>584777</v>
      </c>
      <c r="AF118" s="1">
        <v>140290</v>
      </c>
      <c r="AG118" s="1">
        <v>130564</v>
      </c>
      <c r="AH118" s="1">
        <v>-5806</v>
      </c>
      <c r="AI118">
        <v>-4.3499999999999996</v>
      </c>
      <c r="AJ118">
        <v>-13.67</v>
      </c>
      <c r="AK118">
        <v>-44</v>
      </c>
    </row>
    <row r="119" spans="1:37" x14ac:dyDescent="0.2">
      <c r="A119" t="s">
        <v>215</v>
      </c>
      <c r="B119">
        <v>1094283</v>
      </c>
      <c r="C119" s="1">
        <v>2516</v>
      </c>
      <c r="D119" s="1">
        <v>246217</v>
      </c>
      <c r="E119" t="s">
        <v>216</v>
      </c>
      <c r="G119" s="1">
        <v>552630</v>
      </c>
      <c r="H119" s="1">
        <v>260502</v>
      </c>
      <c r="I119" s="1">
        <v>402769</v>
      </c>
      <c r="J119" s="1">
        <v>29151</v>
      </c>
      <c r="K119" s="1">
        <v>533271</v>
      </c>
      <c r="L119" s="1">
        <v>231819</v>
      </c>
      <c r="M119" s="1">
        <v>462946</v>
      </c>
      <c r="N119" s="1">
        <v>-25</v>
      </c>
      <c r="O119" s="1">
        <v>592150</v>
      </c>
      <c r="P119" s="1">
        <v>269645</v>
      </c>
      <c r="Q119" s="1">
        <v>118843</v>
      </c>
      <c r="R119" s="1">
        <v>10323</v>
      </c>
      <c r="S119" s="1">
        <v>602439</v>
      </c>
      <c r="T119" s="1">
        <v>259349</v>
      </c>
      <c r="U119" s="1">
        <v>99982</v>
      </c>
      <c r="V119" s="1">
        <v>5825</v>
      </c>
      <c r="W119" s="1">
        <v>593622</v>
      </c>
      <c r="X119" s="1">
        <v>254184</v>
      </c>
      <c r="Y119" s="1">
        <v>100269</v>
      </c>
      <c r="Z119" s="1">
        <v>5406</v>
      </c>
      <c r="AA119" s="1">
        <v>552630</v>
      </c>
      <c r="AB119" s="1">
        <v>260502</v>
      </c>
      <c r="AC119" s="1">
        <v>103820</v>
      </c>
      <c r="AD119" s="1">
        <v>13436</v>
      </c>
      <c r="AE119" s="1">
        <v>550236</v>
      </c>
      <c r="AF119" s="1">
        <v>247996</v>
      </c>
      <c r="AG119" s="1">
        <v>108558</v>
      </c>
      <c r="AH119" s="1">
        <v>8609</v>
      </c>
      <c r="AI119">
        <v>1.47</v>
      </c>
      <c r="AJ119">
        <v>117.02</v>
      </c>
      <c r="AK119">
        <v>37.06</v>
      </c>
    </row>
    <row r="120" spans="1:37" x14ac:dyDescent="0.2">
      <c r="A120" t="s">
        <v>217</v>
      </c>
      <c r="B120">
        <v>1094515</v>
      </c>
      <c r="C120" s="1">
        <v>143</v>
      </c>
      <c r="D120" s="1">
        <v>29145</v>
      </c>
      <c r="E120" t="s">
        <v>38</v>
      </c>
      <c r="G120" s="1">
        <v>95690</v>
      </c>
      <c r="H120" s="1">
        <v>46804</v>
      </c>
      <c r="I120" s="1">
        <v>49654</v>
      </c>
      <c r="J120" s="1">
        <v>-17457</v>
      </c>
      <c r="K120" s="1">
        <v>126012</v>
      </c>
      <c r="L120" s="1">
        <v>63792</v>
      </c>
      <c r="M120" s="1">
        <v>53582</v>
      </c>
      <c r="N120" s="1">
        <v>-3312</v>
      </c>
      <c r="S120" s="1">
        <v>87795</v>
      </c>
      <c r="T120" s="1">
        <v>45950</v>
      </c>
      <c r="U120" s="1">
        <v>11969</v>
      </c>
      <c r="V120" s="1">
        <v>15</v>
      </c>
      <c r="W120" s="1">
        <v>87860</v>
      </c>
      <c r="X120" s="1">
        <v>45888</v>
      </c>
      <c r="Y120" s="1">
        <v>13050</v>
      </c>
      <c r="Z120" s="1">
        <v>-755</v>
      </c>
      <c r="AA120" s="1">
        <v>95690</v>
      </c>
      <c r="AB120" s="1">
        <v>46804</v>
      </c>
      <c r="AC120" s="1">
        <v>11996</v>
      </c>
      <c r="AD120" s="1">
        <v>-1026</v>
      </c>
      <c r="AE120" s="1">
        <v>109980</v>
      </c>
      <c r="AF120" s="1">
        <v>47793</v>
      </c>
      <c r="AG120" s="1">
        <v>12837</v>
      </c>
      <c r="AH120" s="1">
        <v>-1129</v>
      </c>
      <c r="AI120">
        <v>3.32</v>
      </c>
      <c r="AJ120">
        <v>-8.1</v>
      </c>
      <c r="AK120">
        <v>-36.44</v>
      </c>
    </row>
    <row r="121" spans="1:37" x14ac:dyDescent="0.2">
      <c r="A121" t="s">
        <v>218</v>
      </c>
      <c r="B121">
        <v>286013</v>
      </c>
      <c r="C121" s="1">
        <v>2136</v>
      </c>
      <c r="D121" s="1">
        <v>512484</v>
      </c>
      <c r="E121" t="s">
        <v>219</v>
      </c>
      <c r="G121" s="1">
        <v>784186</v>
      </c>
      <c r="H121" s="1">
        <v>264292</v>
      </c>
      <c r="I121" s="1">
        <v>656283</v>
      </c>
      <c r="J121" s="1">
        <v>41924</v>
      </c>
      <c r="K121" s="1">
        <v>729740</v>
      </c>
      <c r="L121" s="1">
        <v>208753</v>
      </c>
      <c r="M121" s="1">
        <v>680703</v>
      </c>
      <c r="N121" s="1">
        <v>42797</v>
      </c>
      <c r="O121" s="1">
        <v>908608</v>
      </c>
      <c r="P121" s="1">
        <v>266445</v>
      </c>
      <c r="Q121" s="1">
        <v>202114</v>
      </c>
      <c r="R121" s="1">
        <v>8147</v>
      </c>
      <c r="S121" s="1">
        <v>866985</v>
      </c>
      <c r="T121" s="1">
        <v>258936</v>
      </c>
      <c r="U121" s="1">
        <v>182860</v>
      </c>
      <c r="V121" s="1">
        <v>1340</v>
      </c>
      <c r="W121" s="1">
        <v>827892</v>
      </c>
      <c r="X121" s="1">
        <v>257294</v>
      </c>
      <c r="Y121" s="1">
        <v>164900</v>
      </c>
      <c r="Z121" s="1">
        <v>8230</v>
      </c>
      <c r="AA121" s="1">
        <v>784186</v>
      </c>
      <c r="AB121" s="1">
        <v>264292</v>
      </c>
      <c r="AC121" s="1">
        <v>161801</v>
      </c>
      <c r="AD121" s="1">
        <v>7679</v>
      </c>
      <c r="AE121" s="1">
        <v>802945</v>
      </c>
      <c r="AF121" s="1">
        <v>278273</v>
      </c>
      <c r="AG121" s="1">
        <v>157484</v>
      </c>
      <c r="AH121" s="1">
        <v>4890</v>
      </c>
      <c r="AI121">
        <v>43.44</v>
      </c>
      <c r="AJ121">
        <v>57.17</v>
      </c>
      <c r="AK121">
        <v>138.79</v>
      </c>
    </row>
    <row r="122" spans="1:37" x14ac:dyDescent="0.2">
      <c r="A122" t="s">
        <v>220</v>
      </c>
      <c r="B122">
        <v>536011</v>
      </c>
      <c r="C122" s="1">
        <v>279.3</v>
      </c>
      <c r="D122" s="1">
        <v>168159</v>
      </c>
      <c r="E122" t="s">
        <v>38</v>
      </c>
      <c r="G122" s="1">
        <v>873706</v>
      </c>
      <c r="H122" s="1">
        <v>163477</v>
      </c>
      <c r="I122" s="1">
        <v>356897</v>
      </c>
      <c r="J122" s="1">
        <v>5195</v>
      </c>
      <c r="K122" s="1">
        <v>374121</v>
      </c>
      <c r="L122" s="1">
        <v>161251</v>
      </c>
      <c r="M122" s="1">
        <v>291352</v>
      </c>
      <c r="N122" s="1">
        <v>9945</v>
      </c>
      <c r="S122" s="1">
        <v>864691</v>
      </c>
      <c r="T122" s="1">
        <v>148199</v>
      </c>
      <c r="U122" s="1">
        <v>194586</v>
      </c>
      <c r="V122" s="1">
        <v>-7411</v>
      </c>
      <c r="W122" s="1">
        <v>894820</v>
      </c>
      <c r="X122" s="1">
        <v>155962</v>
      </c>
      <c r="Y122" s="1">
        <v>215302</v>
      </c>
      <c r="Z122" s="1">
        <v>-1476</v>
      </c>
      <c r="AA122" s="1">
        <v>873706</v>
      </c>
      <c r="AB122" s="1">
        <v>163477</v>
      </c>
      <c r="AC122" s="1">
        <v>156058</v>
      </c>
      <c r="AD122" s="1">
        <v>-4860</v>
      </c>
      <c r="AE122" s="1">
        <v>400533</v>
      </c>
      <c r="AF122" s="1">
        <v>170370</v>
      </c>
      <c r="AG122" s="1">
        <v>65674</v>
      </c>
      <c r="AH122" s="1">
        <v>-554</v>
      </c>
      <c r="AI122">
        <v>-15.31</v>
      </c>
      <c r="AJ122">
        <v>7.66</v>
      </c>
      <c r="AK122">
        <v>12.12</v>
      </c>
    </row>
    <row r="123" spans="1:37" x14ac:dyDescent="0.2">
      <c r="A123" t="s">
        <v>221</v>
      </c>
      <c r="B123">
        <v>1104363</v>
      </c>
      <c r="C123" s="1">
        <v>4972</v>
      </c>
      <c r="D123" s="1">
        <v>26377</v>
      </c>
      <c r="E123" t="s">
        <v>38</v>
      </c>
      <c r="G123" s="1">
        <v>3360</v>
      </c>
      <c r="H123" s="1">
        <v>1348</v>
      </c>
      <c r="I123" s="1">
        <v>4704</v>
      </c>
      <c r="J123" s="1">
        <v>-16063</v>
      </c>
      <c r="K123" s="1">
        <v>2332</v>
      </c>
      <c r="L123" s="1">
        <v>145</v>
      </c>
      <c r="M123" s="1">
        <v>3406</v>
      </c>
      <c r="N123" s="1">
        <v>-2360</v>
      </c>
      <c r="S123" s="1">
        <v>3321</v>
      </c>
      <c r="T123" s="1">
        <v>1527</v>
      </c>
      <c r="U123" s="1">
        <v>4643</v>
      </c>
      <c r="V123" s="1">
        <v>179</v>
      </c>
      <c r="AA123" s="1">
        <v>3360</v>
      </c>
      <c r="AB123" s="1">
        <v>1348</v>
      </c>
      <c r="AC123" s="1">
        <v>2478</v>
      </c>
      <c r="AD123" s="1">
        <v>-2076</v>
      </c>
      <c r="AI123">
        <v>7.69</v>
      </c>
      <c r="AJ123">
        <v>-0.42</v>
      </c>
      <c r="AK123">
        <v>-81.099999999999994</v>
      </c>
    </row>
    <row r="124" spans="1:37" x14ac:dyDescent="0.2">
      <c r="A124" t="s">
        <v>222</v>
      </c>
      <c r="B124">
        <v>1178276</v>
      </c>
      <c r="C124" s="1">
        <v>295</v>
      </c>
      <c r="D124" s="1">
        <v>159353</v>
      </c>
      <c r="E124" t="s">
        <v>223</v>
      </c>
      <c r="G124" s="1">
        <v>903820</v>
      </c>
      <c r="H124" s="1">
        <v>115737</v>
      </c>
      <c r="I124" s="1">
        <v>115489</v>
      </c>
      <c r="J124" s="1">
        <v>18326</v>
      </c>
      <c r="K124" s="1">
        <v>1073497</v>
      </c>
      <c r="L124" s="1">
        <v>103961</v>
      </c>
      <c r="M124" s="1">
        <v>108572</v>
      </c>
      <c r="N124" s="1">
        <v>13515</v>
      </c>
      <c r="O124" s="1">
        <v>931853</v>
      </c>
      <c r="P124" s="1">
        <v>123653</v>
      </c>
      <c r="Q124" s="1">
        <v>24853</v>
      </c>
      <c r="R124" s="1">
        <v>3947</v>
      </c>
      <c r="S124" s="1">
        <v>921090</v>
      </c>
      <c r="T124" s="1">
        <v>119653</v>
      </c>
      <c r="U124" s="1">
        <v>33069</v>
      </c>
      <c r="V124" s="1">
        <v>6885</v>
      </c>
      <c r="W124" s="1">
        <v>902990</v>
      </c>
      <c r="X124" s="1">
        <v>112717</v>
      </c>
      <c r="Y124" s="1">
        <v>24649</v>
      </c>
      <c r="Z124" s="1">
        <v>3938</v>
      </c>
      <c r="AA124" s="1">
        <v>903820</v>
      </c>
      <c r="AB124" s="1">
        <v>115737</v>
      </c>
      <c r="AC124" s="1">
        <v>27702</v>
      </c>
      <c r="AD124" s="1">
        <v>4973</v>
      </c>
      <c r="AE124" s="1">
        <v>937833</v>
      </c>
      <c r="AF124" s="1">
        <v>110678</v>
      </c>
      <c r="AG124" s="1">
        <v>27708</v>
      </c>
      <c r="AH124" s="1">
        <v>5103</v>
      </c>
      <c r="AI124">
        <v>12.13</v>
      </c>
      <c r="AJ124">
        <v>70.62</v>
      </c>
      <c r="AK124">
        <v>112.96</v>
      </c>
    </row>
    <row r="125" spans="1:37" x14ac:dyDescent="0.2">
      <c r="A125" t="s">
        <v>224</v>
      </c>
      <c r="B125">
        <v>1104744</v>
      </c>
      <c r="C125" s="1">
        <v>4500</v>
      </c>
      <c r="D125" s="1">
        <v>122369</v>
      </c>
      <c r="E125" t="s">
        <v>225</v>
      </c>
      <c r="G125" s="1">
        <v>1013701</v>
      </c>
      <c r="H125" s="1">
        <v>236123</v>
      </c>
      <c r="I125" s="1">
        <v>654138</v>
      </c>
      <c r="J125" s="1">
        <v>737</v>
      </c>
      <c r="K125" s="1">
        <v>1019478</v>
      </c>
      <c r="L125" s="1">
        <v>236074</v>
      </c>
      <c r="M125" s="1">
        <v>633503</v>
      </c>
      <c r="N125" s="1">
        <v>-25247</v>
      </c>
      <c r="O125" s="1">
        <v>1092532</v>
      </c>
      <c r="P125" s="1">
        <v>251392</v>
      </c>
      <c r="Q125" s="1">
        <v>188661</v>
      </c>
      <c r="R125" s="1">
        <v>3109</v>
      </c>
      <c r="S125" s="1">
        <v>1095607</v>
      </c>
      <c r="T125" s="1">
        <v>247204</v>
      </c>
      <c r="U125" s="1">
        <v>168887</v>
      </c>
      <c r="V125" s="1">
        <v>5540</v>
      </c>
      <c r="W125" s="1">
        <v>1055777</v>
      </c>
      <c r="X125" s="1">
        <v>241582</v>
      </c>
      <c r="Y125" s="1">
        <v>182909</v>
      </c>
      <c r="Z125" s="1">
        <v>5459</v>
      </c>
      <c r="AA125" s="1">
        <v>1013701</v>
      </c>
      <c r="AB125" s="1">
        <v>236123</v>
      </c>
      <c r="AC125" s="1">
        <v>189739</v>
      </c>
      <c r="AD125" s="1">
        <v>6086</v>
      </c>
      <c r="AE125" s="1">
        <v>1007122</v>
      </c>
      <c r="AF125" s="1">
        <v>230724</v>
      </c>
      <c r="AG125" s="1">
        <v>185298</v>
      </c>
      <c r="AH125" s="1">
        <v>1766</v>
      </c>
      <c r="AI125">
        <v>-3.91</v>
      </c>
      <c r="AJ125">
        <v>91.91</v>
      </c>
      <c r="AK125">
        <v>-12.68</v>
      </c>
    </row>
    <row r="126" spans="1:37" x14ac:dyDescent="0.2">
      <c r="A126" t="s">
        <v>226</v>
      </c>
      <c r="B126">
        <v>454017</v>
      </c>
      <c r="C126" s="1">
        <v>713.7</v>
      </c>
      <c r="D126" s="1">
        <v>325009</v>
      </c>
      <c r="E126" t="s">
        <v>227</v>
      </c>
      <c r="G126" s="1">
        <v>989667</v>
      </c>
      <c r="H126" s="1">
        <v>408779</v>
      </c>
      <c r="I126" s="1">
        <v>654138</v>
      </c>
      <c r="J126" s="1">
        <v>11234</v>
      </c>
      <c r="K126" s="1">
        <v>1000631</v>
      </c>
      <c r="L126" s="1">
        <v>398553</v>
      </c>
      <c r="M126" s="1">
        <v>633503</v>
      </c>
      <c r="N126" s="1">
        <v>-28606</v>
      </c>
      <c r="O126" s="1">
        <v>1069877</v>
      </c>
      <c r="P126" s="1">
        <v>435268</v>
      </c>
      <c r="Q126" s="1">
        <v>188661</v>
      </c>
      <c r="R126" s="1">
        <v>7545</v>
      </c>
      <c r="S126" s="1">
        <v>1071705</v>
      </c>
      <c r="T126" s="1">
        <v>426318</v>
      </c>
      <c r="U126" s="1">
        <v>168887</v>
      </c>
      <c r="V126" s="1">
        <v>7206</v>
      </c>
      <c r="W126" s="1">
        <v>1031560</v>
      </c>
      <c r="X126" s="1">
        <v>419112</v>
      </c>
      <c r="Y126" s="1">
        <v>182909</v>
      </c>
      <c r="Z126" s="1">
        <v>10333</v>
      </c>
      <c r="AA126" s="1">
        <v>989667</v>
      </c>
      <c r="AB126" s="1">
        <v>408779</v>
      </c>
      <c r="AC126" s="1">
        <v>189739</v>
      </c>
      <c r="AD126" s="1">
        <v>10812</v>
      </c>
      <c r="AE126" s="1">
        <v>980409</v>
      </c>
      <c r="AF126" s="1">
        <v>398973</v>
      </c>
      <c r="AG126" s="1">
        <v>185298</v>
      </c>
      <c r="AH126" s="1">
        <v>5235</v>
      </c>
      <c r="AI126">
        <v>1.08</v>
      </c>
      <c r="AJ126">
        <v>98.61</v>
      </c>
      <c r="AK126">
        <v>26.65</v>
      </c>
    </row>
    <row r="127" spans="1:37" x14ac:dyDescent="0.2">
      <c r="A127" t="s">
        <v>228</v>
      </c>
      <c r="B127">
        <v>506022</v>
      </c>
      <c r="C127" s="1">
        <v>26.4</v>
      </c>
      <c r="D127" s="1">
        <v>81406</v>
      </c>
      <c r="E127" t="s">
        <v>38</v>
      </c>
      <c r="G127" s="1">
        <v>20098.62</v>
      </c>
      <c r="H127" s="1">
        <v>-97630.19</v>
      </c>
      <c r="J127" s="1">
        <v>-21491.77</v>
      </c>
      <c r="K127" s="1">
        <v>21036.6</v>
      </c>
      <c r="L127" s="1">
        <v>-89144.41</v>
      </c>
      <c r="N127" s="1">
        <v>-34699.51</v>
      </c>
      <c r="S127" s="1">
        <v>18461.7</v>
      </c>
      <c r="T127" s="1">
        <v>-102704.38</v>
      </c>
      <c r="V127" s="1">
        <v>-16849.88</v>
      </c>
      <c r="AA127" s="1">
        <v>20098.62</v>
      </c>
      <c r="AB127" s="1">
        <v>-97630.19</v>
      </c>
      <c r="AD127" s="1">
        <v>-12782.74</v>
      </c>
      <c r="AI127">
        <v>-12.99</v>
      </c>
      <c r="AJ127">
        <v>27.01</v>
      </c>
      <c r="AK127">
        <v>-70.510000000000005</v>
      </c>
    </row>
    <row r="128" spans="1:37" x14ac:dyDescent="0.2">
      <c r="A128" t="s">
        <v>229</v>
      </c>
      <c r="B128">
        <v>1176726</v>
      </c>
      <c r="C128" s="1">
        <v>411</v>
      </c>
      <c r="D128" s="1">
        <v>35651</v>
      </c>
      <c r="E128" t="s">
        <v>38</v>
      </c>
      <c r="G128" s="1">
        <v>68641</v>
      </c>
      <c r="H128" s="1">
        <v>19664</v>
      </c>
      <c r="I128" s="1">
        <v>82076</v>
      </c>
      <c r="J128" s="1">
        <v>-23819</v>
      </c>
      <c r="K128" s="1">
        <v>91786</v>
      </c>
      <c r="L128" s="1">
        <v>43522</v>
      </c>
      <c r="M128" s="1">
        <v>88558</v>
      </c>
      <c r="N128" s="1">
        <v>-7564</v>
      </c>
      <c r="S128" s="1">
        <v>72339</v>
      </c>
      <c r="T128" s="1">
        <v>17509</v>
      </c>
      <c r="U128" s="1">
        <v>37269</v>
      </c>
      <c r="V128" s="1">
        <v>-7106</v>
      </c>
      <c r="AA128" s="1">
        <v>68641</v>
      </c>
      <c r="AB128" s="1">
        <v>19664</v>
      </c>
      <c r="AC128" s="1">
        <v>39802</v>
      </c>
      <c r="AD128" s="1">
        <v>-13629</v>
      </c>
      <c r="AI128">
        <v>66.459999999999994</v>
      </c>
      <c r="AJ128">
        <v>-3.86</v>
      </c>
      <c r="AK128">
        <v>-28.52</v>
      </c>
    </row>
    <row r="129" spans="1:37" x14ac:dyDescent="0.2">
      <c r="A129" t="s">
        <v>230</v>
      </c>
      <c r="B129">
        <v>149013</v>
      </c>
      <c r="C129" s="1">
        <v>20760</v>
      </c>
      <c r="D129" s="1">
        <v>836084</v>
      </c>
      <c r="E129" t="s">
        <v>231</v>
      </c>
      <c r="G129" s="1">
        <v>1119970</v>
      </c>
      <c r="H129" s="1">
        <v>886460</v>
      </c>
      <c r="I129" s="1">
        <v>194125</v>
      </c>
      <c r="J129" s="1">
        <v>30851</v>
      </c>
      <c r="K129" s="1">
        <v>1082962</v>
      </c>
      <c r="L129" s="1">
        <v>863150</v>
      </c>
      <c r="M129" s="1">
        <v>184716</v>
      </c>
      <c r="N129" s="1">
        <v>27907</v>
      </c>
      <c r="O129" s="1">
        <v>1181660</v>
      </c>
      <c r="P129" s="1">
        <v>892868</v>
      </c>
      <c r="Q129" s="1">
        <v>63414</v>
      </c>
      <c r="R129" s="1">
        <v>7145</v>
      </c>
      <c r="S129" s="1">
        <v>1116291</v>
      </c>
      <c r="T129" s="1">
        <v>886147</v>
      </c>
      <c r="U129" s="1">
        <v>62792</v>
      </c>
      <c r="V129" s="1">
        <v>6376</v>
      </c>
      <c r="W129" s="1">
        <v>1137095</v>
      </c>
      <c r="X129" s="1">
        <v>886898</v>
      </c>
      <c r="Y129" s="1">
        <v>57870</v>
      </c>
      <c r="Z129" s="1">
        <v>7435</v>
      </c>
      <c r="AA129" s="1">
        <v>1119970</v>
      </c>
      <c r="AB129" s="1">
        <v>886460</v>
      </c>
      <c r="AC129" s="1">
        <v>55794</v>
      </c>
      <c r="AD129" s="1">
        <v>10818</v>
      </c>
      <c r="AE129" s="1">
        <v>1100934</v>
      </c>
      <c r="AF129" s="1">
        <v>881548</v>
      </c>
      <c r="AG129" s="1">
        <v>51941</v>
      </c>
      <c r="AH129" s="1">
        <v>7428</v>
      </c>
      <c r="AI129">
        <v>3.33</v>
      </c>
      <c r="AJ129">
        <v>41.52</v>
      </c>
      <c r="AK129">
        <v>42.98</v>
      </c>
    </row>
    <row r="130" spans="1:37" x14ac:dyDescent="0.2">
      <c r="A130" t="s">
        <v>232</v>
      </c>
      <c r="B130">
        <v>1083443</v>
      </c>
      <c r="C130" s="1">
        <v>242.5</v>
      </c>
      <c r="D130" s="1">
        <v>52161</v>
      </c>
      <c r="E130" t="s">
        <v>38</v>
      </c>
      <c r="G130" s="1">
        <v>8065</v>
      </c>
      <c r="H130" s="1">
        <v>4632</v>
      </c>
      <c r="J130" s="1">
        <v>-22647</v>
      </c>
      <c r="K130" s="1">
        <v>5965</v>
      </c>
      <c r="L130" s="1">
        <v>-9934</v>
      </c>
      <c r="N130" s="1">
        <v>-6657</v>
      </c>
      <c r="S130" s="1">
        <v>55904</v>
      </c>
      <c r="T130" s="1">
        <v>37355</v>
      </c>
      <c r="U130" s="1">
        <v>3487</v>
      </c>
      <c r="V130" s="1">
        <v>-5618</v>
      </c>
      <c r="AA130" s="1">
        <v>8065</v>
      </c>
      <c r="AB130" s="1">
        <v>4632</v>
      </c>
      <c r="AD130" s="1">
        <v>-16956</v>
      </c>
      <c r="AI130">
        <v>-43.51</v>
      </c>
      <c r="AJ130">
        <v>-44.02</v>
      </c>
      <c r="AK130">
        <v>-71.52</v>
      </c>
    </row>
    <row r="131" spans="1:37" x14ac:dyDescent="0.2">
      <c r="A131" t="s">
        <v>233</v>
      </c>
      <c r="B131">
        <v>1091933</v>
      </c>
      <c r="C131" s="1">
        <v>1089</v>
      </c>
      <c r="D131" s="1">
        <v>372785</v>
      </c>
      <c r="E131" t="s">
        <v>234</v>
      </c>
      <c r="G131" s="1">
        <v>534461</v>
      </c>
      <c r="H131" s="1">
        <v>292431</v>
      </c>
      <c r="I131" s="1">
        <v>406260</v>
      </c>
      <c r="J131" s="1">
        <v>25399</v>
      </c>
      <c r="K131" s="1">
        <v>501538</v>
      </c>
      <c r="L131" s="1">
        <v>292241</v>
      </c>
      <c r="M131" s="1">
        <v>430240</v>
      </c>
      <c r="N131" s="1">
        <v>38436</v>
      </c>
      <c r="S131" s="1">
        <v>569794</v>
      </c>
      <c r="T131" s="1">
        <v>303865</v>
      </c>
      <c r="U131" s="1">
        <v>107173</v>
      </c>
      <c r="V131" s="1">
        <v>5746</v>
      </c>
      <c r="W131" s="1">
        <v>554396</v>
      </c>
      <c r="X131" s="1">
        <v>301915</v>
      </c>
      <c r="Y131" s="1">
        <v>98603</v>
      </c>
      <c r="Z131" s="1">
        <v>6284</v>
      </c>
      <c r="AA131" s="1">
        <v>534461</v>
      </c>
      <c r="AB131" s="1">
        <v>292431</v>
      </c>
      <c r="AC131" s="1">
        <v>106759</v>
      </c>
      <c r="AD131" s="1">
        <v>3607</v>
      </c>
      <c r="AE131" s="1">
        <v>526403</v>
      </c>
      <c r="AF131" s="1">
        <v>314581</v>
      </c>
      <c r="AG131" s="1">
        <v>110719</v>
      </c>
      <c r="AH131" s="1">
        <v>8624</v>
      </c>
      <c r="AI131">
        <v>8.1</v>
      </c>
      <c r="AJ131">
        <v>4.99</v>
      </c>
      <c r="AK131">
        <v>24.66</v>
      </c>
    </row>
    <row r="132" spans="1:37" x14ac:dyDescent="0.2">
      <c r="A132" t="s">
        <v>235</v>
      </c>
      <c r="B132">
        <v>1096148</v>
      </c>
      <c r="C132" s="1">
        <v>730.6</v>
      </c>
      <c r="D132" s="1">
        <v>323504</v>
      </c>
      <c r="E132" t="s">
        <v>236</v>
      </c>
      <c r="G132" s="1">
        <v>888383</v>
      </c>
      <c r="H132" s="1">
        <v>221112</v>
      </c>
      <c r="I132" s="1">
        <v>871493</v>
      </c>
      <c r="J132" s="1">
        <v>64870</v>
      </c>
      <c r="K132" s="1">
        <v>814153</v>
      </c>
      <c r="L132" s="1">
        <v>156299</v>
      </c>
      <c r="M132" s="1">
        <v>852161</v>
      </c>
      <c r="N132" s="1">
        <v>-44782</v>
      </c>
      <c r="O132" s="1">
        <v>1067389</v>
      </c>
      <c r="P132" s="1">
        <v>202625</v>
      </c>
      <c r="Q132" s="1">
        <v>216558</v>
      </c>
      <c r="R132" s="1">
        <v>8622</v>
      </c>
      <c r="S132" s="1">
        <v>1061544</v>
      </c>
      <c r="T132" s="1">
        <v>203966</v>
      </c>
      <c r="U132" s="1">
        <v>221872</v>
      </c>
      <c r="V132" s="1">
        <v>5571</v>
      </c>
      <c r="W132" s="1">
        <v>1076669</v>
      </c>
      <c r="X132" s="1">
        <v>207245</v>
      </c>
      <c r="Y132" s="1">
        <v>230200</v>
      </c>
      <c r="Z132" s="1">
        <v>6253</v>
      </c>
      <c r="AA132" s="1">
        <v>888383</v>
      </c>
      <c r="AB132" s="1">
        <v>221112</v>
      </c>
      <c r="AC132" s="1">
        <v>251778</v>
      </c>
      <c r="AD132" s="1">
        <v>21355</v>
      </c>
      <c r="AE132" s="1">
        <v>876029</v>
      </c>
      <c r="AF132" s="1">
        <v>199636</v>
      </c>
      <c r="AG132" s="1">
        <v>198820</v>
      </c>
      <c r="AH132" s="1">
        <v>11508</v>
      </c>
      <c r="AI132">
        <v>-3.36</v>
      </c>
      <c r="AJ132">
        <v>31.77</v>
      </c>
      <c r="AK132">
        <v>29.81</v>
      </c>
    </row>
    <row r="133" spans="1:37" x14ac:dyDescent="0.2">
      <c r="A133" t="s">
        <v>237</v>
      </c>
      <c r="B133">
        <v>1156280</v>
      </c>
      <c r="C133" s="1">
        <v>867.9</v>
      </c>
      <c r="D133" s="1">
        <v>707796</v>
      </c>
      <c r="E133" t="s">
        <v>238</v>
      </c>
      <c r="G133" s="1">
        <v>546031</v>
      </c>
      <c r="H133" s="1">
        <v>140019</v>
      </c>
      <c r="I133" s="1">
        <v>964595</v>
      </c>
      <c r="J133" s="1">
        <v>20580</v>
      </c>
      <c r="K133" s="1">
        <v>435200</v>
      </c>
      <c r="L133" s="1">
        <v>130143</v>
      </c>
      <c r="M133" s="1">
        <v>878665</v>
      </c>
      <c r="N133" s="1">
        <v>31230</v>
      </c>
      <c r="S133" s="1">
        <v>568190</v>
      </c>
      <c r="T133" s="1">
        <v>156422</v>
      </c>
      <c r="U133" s="1">
        <v>245617</v>
      </c>
      <c r="V133" s="1">
        <v>9919</v>
      </c>
      <c r="W133" s="1">
        <v>571597</v>
      </c>
      <c r="X133" s="1">
        <v>146268</v>
      </c>
      <c r="Y133" s="1">
        <v>244640</v>
      </c>
      <c r="Z133" s="1">
        <v>11335</v>
      </c>
      <c r="AA133" s="1">
        <v>546031</v>
      </c>
      <c r="AB133" s="1">
        <v>140019</v>
      </c>
      <c r="AC133" s="1">
        <v>246288</v>
      </c>
      <c r="AD133" s="1">
        <v>1739</v>
      </c>
      <c r="AE133" s="1">
        <v>546592</v>
      </c>
      <c r="AF133" s="1">
        <v>144664</v>
      </c>
      <c r="AG133" s="1">
        <v>250439</v>
      </c>
      <c r="AH133" s="1">
        <v>8727</v>
      </c>
      <c r="AI133">
        <v>18.72</v>
      </c>
      <c r="AJ133">
        <v>89.41</v>
      </c>
      <c r="AK133">
        <v>146.13</v>
      </c>
    </row>
    <row r="134" spans="1:37" x14ac:dyDescent="0.2">
      <c r="A134" t="s">
        <v>239</v>
      </c>
      <c r="B134">
        <v>1122688</v>
      </c>
      <c r="C134" s="1">
        <v>1355</v>
      </c>
      <c r="D134" s="1">
        <v>136233</v>
      </c>
      <c r="E134" t="s">
        <v>240</v>
      </c>
      <c r="G134" s="1">
        <v>586373</v>
      </c>
      <c r="H134" s="1">
        <v>182983</v>
      </c>
      <c r="J134" s="1">
        <v>24697</v>
      </c>
      <c r="K134" s="1">
        <v>605173</v>
      </c>
      <c r="L134" s="1">
        <v>158286</v>
      </c>
      <c r="N134" s="1">
        <v>15695</v>
      </c>
      <c r="S134" s="1">
        <v>788264</v>
      </c>
      <c r="T134" s="1">
        <v>195245</v>
      </c>
      <c r="V134" s="1">
        <v>12167</v>
      </c>
      <c r="AA134" s="1">
        <v>586373</v>
      </c>
      <c r="AB134" s="1">
        <v>182983</v>
      </c>
      <c r="AD134" s="1">
        <v>14242</v>
      </c>
      <c r="AI134">
        <v>8.57</v>
      </c>
      <c r="AJ134">
        <v>17.91</v>
      </c>
      <c r="AK134">
        <v>29.51</v>
      </c>
    </row>
    <row r="135" spans="1:37" x14ac:dyDescent="0.2">
      <c r="A135" t="s">
        <v>241</v>
      </c>
      <c r="B135">
        <v>1144781</v>
      </c>
      <c r="C135" s="1">
        <v>1002</v>
      </c>
      <c r="D135" s="1">
        <v>201593</v>
      </c>
      <c r="E135" t="s">
        <v>242</v>
      </c>
      <c r="G135" s="1">
        <v>167828</v>
      </c>
      <c r="H135" s="1">
        <v>40129</v>
      </c>
      <c r="I135" s="1">
        <v>722</v>
      </c>
      <c r="J135" s="1">
        <v>-10304</v>
      </c>
      <c r="K135" s="1">
        <v>163678</v>
      </c>
      <c r="L135" s="1">
        <v>49252</v>
      </c>
      <c r="M135" s="1">
        <v>684</v>
      </c>
      <c r="N135" s="1">
        <v>-17378</v>
      </c>
      <c r="S135" s="1">
        <v>170584</v>
      </c>
      <c r="T135" s="1">
        <v>58426</v>
      </c>
      <c r="U135" s="1">
        <v>391</v>
      </c>
      <c r="V135" s="1">
        <v>18297</v>
      </c>
      <c r="AA135" s="1">
        <v>167828</v>
      </c>
      <c r="AB135" s="1">
        <v>40129</v>
      </c>
      <c r="AC135" s="1">
        <v>369</v>
      </c>
      <c r="AD135" s="1">
        <v>11223</v>
      </c>
      <c r="AI135">
        <v>0.1</v>
      </c>
      <c r="AJ135">
        <v>-38.6</v>
      </c>
      <c r="AK135">
        <v>-35.89</v>
      </c>
    </row>
    <row r="136" spans="1:37" x14ac:dyDescent="0.2">
      <c r="A136" t="s">
        <v>243</v>
      </c>
      <c r="B136">
        <v>1080597</v>
      </c>
      <c r="C136" s="1">
        <v>101</v>
      </c>
      <c r="D136" s="1">
        <v>94757</v>
      </c>
      <c r="E136" t="s">
        <v>244</v>
      </c>
      <c r="G136" s="1">
        <v>238243.93</v>
      </c>
      <c r="H136" s="1">
        <v>57779.42</v>
      </c>
      <c r="I136" s="1">
        <v>253802.03</v>
      </c>
      <c r="J136" s="1">
        <v>6513.54</v>
      </c>
      <c r="K136" s="1">
        <v>167886.58</v>
      </c>
      <c r="L136" s="1">
        <v>41485.629999999997</v>
      </c>
      <c r="M136" s="1">
        <v>200043.56</v>
      </c>
      <c r="N136" s="1">
        <v>2593.31</v>
      </c>
      <c r="O136" s="1">
        <v>271115.14</v>
      </c>
      <c r="P136" s="1">
        <v>69660.73</v>
      </c>
      <c r="Q136" s="1">
        <v>66367.95</v>
      </c>
      <c r="R136" s="1">
        <v>6840.11</v>
      </c>
      <c r="S136" s="1">
        <v>271206.59000000003</v>
      </c>
      <c r="T136" s="1">
        <v>57273.42</v>
      </c>
      <c r="U136" s="1">
        <v>62668.62</v>
      </c>
      <c r="V136" s="1">
        <v>178.72</v>
      </c>
      <c r="W136" s="1">
        <v>284018.02</v>
      </c>
      <c r="X136" s="1">
        <v>62923.43</v>
      </c>
      <c r="Y136" s="1">
        <v>59465.69</v>
      </c>
      <c r="Z136" s="1">
        <v>3970.82</v>
      </c>
      <c r="AA136" s="1">
        <v>238243.93</v>
      </c>
      <c r="AB136" s="1">
        <v>57779.42</v>
      </c>
      <c r="AC136" s="1">
        <v>60941.37</v>
      </c>
      <c r="AD136" s="1">
        <v>1539.03</v>
      </c>
      <c r="AE136" s="1">
        <v>236263.93</v>
      </c>
      <c r="AF136" s="1">
        <v>57093.19</v>
      </c>
      <c r="AG136" s="1">
        <v>71513.960000000006</v>
      </c>
      <c r="AH136" s="1">
        <v>3951.15</v>
      </c>
      <c r="AI136">
        <v>-1.74</v>
      </c>
      <c r="AJ136">
        <v>54.88</v>
      </c>
      <c r="AK136">
        <v>249.14</v>
      </c>
    </row>
    <row r="137" spans="1:37" x14ac:dyDescent="0.2">
      <c r="A137" t="s">
        <v>245</v>
      </c>
      <c r="B137">
        <v>1099787</v>
      </c>
      <c r="C137" s="1">
        <v>316.60000000000002</v>
      </c>
      <c r="D137" s="1">
        <v>155563</v>
      </c>
      <c r="E137" t="s">
        <v>38</v>
      </c>
      <c r="G137" s="1">
        <v>16661</v>
      </c>
      <c r="H137" s="1">
        <v>16049</v>
      </c>
      <c r="I137" s="1">
        <v>3333</v>
      </c>
      <c r="J137" s="1">
        <v>-8464</v>
      </c>
      <c r="K137" s="1">
        <v>27085</v>
      </c>
      <c r="L137" s="1">
        <v>24296</v>
      </c>
      <c r="M137" s="1">
        <v>2723</v>
      </c>
      <c r="N137" s="1">
        <v>-11712</v>
      </c>
      <c r="S137" s="1">
        <v>23122</v>
      </c>
      <c r="T137" s="1">
        <v>19894</v>
      </c>
      <c r="U137" s="1">
        <v>3631</v>
      </c>
      <c r="V137" s="1">
        <v>-20563</v>
      </c>
      <c r="AA137" s="1">
        <v>16661</v>
      </c>
      <c r="AB137" s="1">
        <v>16049</v>
      </c>
      <c r="AC137" s="1">
        <v>1483</v>
      </c>
      <c r="AD137" s="1">
        <v>-1380</v>
      </c>
      <c r="AI137">
        <v>-47.28</v>
      </c>
      <c r="AJ137">
        <v>71.78</v>
      </c>
      <c r="AK137">
        <v>42.72</v>
      </c>
    </row>
    <row r="138" spans="1:37" x14ac:dyDescent="0.2">
      <c r="A138" t="s">
        <v>246</v>
      </c>
      <c r="B138">
        <v>744011</v>
      </c>
      <c r="C138" s="1">
        <v>1705</v>
      </c>
      <c r="D138" s="1">
        <v>35380</v>
      </c>
      <c r="E138" t="s">
        <v>38</v>
      </c>
      <c r="G138" s="1">
        <v>56935</v>
      </c>
      <c r="H138" s="1">
        <v>-18841</v>
      </c>
      <c r="I138" s="1">
        <v>99656</v>
      </c>
      <c r="J138" s="1">
        <v>-15564</v>
      </c>
      <c r="K138" s="1">
        <v>103272</v>
      </c>
      <c r="L138" s="1">
        <v>1745</v>
      </c>
      <c r="M138" s="1">
        <v>293753</v>
      </c>
      <c r="N138" s="1">
        <v>-10836</v>
      </c>
      <c r="S138" s="1">
        <v>64597</v>
      </c>
      <c r="T138" s="1">
        <v>-26905</v>
      </c>
      <c r="U138" s="1">
        <v>18040</v>
      </c>
      <c r="V138" s="1">
        <v>-54390</v>
      </c>
      <c r="AA138" s="1">
        <v>56935</v>
      </c>
      <c r="AB138" s="1">
        <v>-18841</v>
      </c>
      <c r="AC138" s="1">
        <v>35620</v>
      </c>
      <c r="AD138" s="1">
        <v>-4720</v>
      </c>
      <c r="AI138">
        <v>-33.590000000000003</v>
      </c>
      <c r="AJ138">
        <v>221.59</v>
      </c>
      <c r="AK138">
        <v>-34.72</v>
      </c>
    </row>
    <row r="139" spans="1:37" x14ac:dyDescent="0.2">
      <c r="A139" t="s">
        <v>247</v>
      </c>
      <c r="B139">
        <v>1141316</v>
      </c>
      <c r="C139" s="1">
        <v>80.599999999999994</v>
      </c>
      <c r="D139" s="1">
        <v>130620</v>
      </c>
      <c r="E139" t="s">
        <v>248</v>
      </c>
      <c r="G139" s="1">
        <v>448460.66</v>
      </c>
      <c r="H139" s="1">
        <v>204330.47</v>
      </c>
      <c r="I139" s="1">
        <v>36860.230000000003</v>
      </c>
      <c r="J139" s="1">
        <v>22578.58</v>
      </c>
      <c r="K139" s="1">
        <v>521976.09</v>
      </c>
      <c r="L139" s="1">
        <v>180436</v>
      </c>
      <c r="M139" s="1">
        <v>36534.769999999997</v>
      </c>
      <c r="N139" s="1">
        <v>-7681.99</v>
      </c>
      <c r="O139" s="1">
        <v>361653.26</v>
      </c>
      <c r="P139" s="1">
        <v>199275.76</v>
      </c>
      <c r="Q139" s="1">
        <v>5742.52</v>
      </c>
      <c r="R139" s="1">
        <v>1778.63</v>
      </c>
      <c r="S139" s="1">
        <v>367612.07</v>
      </c>
      <c r="T139" s="1">
        <v>201439.91</v>
      </c>
      <c r="U139" s="1">
        <v>6905.86</v>
      </c>
      <c r="V139" s="1">
        <v>11323.18</v>
      </c>
      <c r="W139" s="1">
        <v>453521.63</v>
      </c>
      <c r="X139" s="1">
        <v>209624.55</v>
      </c>
      <c r="Y139" s="1">
        <v>9395.39</v>
      </c>
      <c r="Z139" s="1">
        <v>1316.17</v>
      </c>
      <c r="AA139" s="1">
        <v>448460.66</v>
      </c>
      <c r="AB139" s="1">
        <v>204330.47</v>
      </c>
      <c r="AC139" s="1">
        <v>9215.9699999999993</v>
      </c>
      <c r="AD139" s="1">
        <v>565.29</v>
      </c>
      <c r="AE139" s="1">
        <v>463716.61</v>
      </c>
      <c r="AF139" s="1">
        <v>207285.12</v>
      </c>
      <c r="AG139" s="1">
        <v>9371.4599999999991</v>
      </c>
      <c r="AH139" s="1">
        <v>12079.76</v>
      </c>
      <c r="AI139">
        <v>-5.62</v>
      </c>
      <c r="AJ139">
        <v>15.14</v>
      </c>
      <c r="AK139">
        <v>44.15</v>
      </c>
    </row>
    <row r="140" spans="1:37" x14ac:dyDescent="0.2">
      <c r="A140" t="s">
        <v>249</v>
      </c>
      <c r="B140">
        <v>1081983</v>
      </c>
      <c r="C140" s="1">
        <v>225.8</v>
      </c>
      <c r="D140" s="1">
        <v>28256</v>
      </c>
      <c r="E140" t="s">
        <v>38</v>
      </c>
      <c r="G140" s="1">
        <v>10424</v>
      </c>
      <c r="H140" s="1">
        <v>6108</v>
      </c>
      <c r="I140" s="1">
        <v>5811</v>
      </c>
      <c r="J140" s="1">
        <v>513</v>
      </c>
      <c r="K140" s="1">
        <v>216</v>
      </c>
      <c r="L140" s="1">
        <v>-3499</v>
      </c>
      <c r="N140" s="1">
        <v>-8831</v>
      </c>
      <c r="S140" s="1">
        <v>13637</v>
      </c>
      <c r="T140" s="1">
        <v>5605</v>
      </c>
      <c r="U140" s="1">
        <v>2875</v>
      </c>
      <c r="V140" s="1">
        <v>-13028</v>
      </c>
      <c r="AA140" s="1">
        <v>10424</v>
      </c>
      <c r="AB140" s="1">
        <v>6108</v>
      </c>
      <c r="AC140" s="1">
        <v>2845</v>
      </c>
      <c r="AD140" s="1">
        <v>-57</v>
      </c>
      <c r="AI140">
        <v>98</v>
      </c>
      <c r="AJ140">
        <v>42.45</v>
      </c>
      <c r="AK140">
        <v>-67.27</v>
      </c>
    </row>
    <row r="141" spans="1:37" x14ac:dyDescent="0.2">
      <c r="A141" t="s">
        <v>250</v>
      </c>
      <c r="B141">
        <v>1147487</v>
      </c>
      <c r="C141" s="1">
        <v>50600</v>
      </c>
      <c r="D141" s="1">
        <v>625943</v>
      </c>
      <c r="E141" t="s">
        <v>251</v>
      </c>
      <c r="G141" s="1">
        <v>576137</v>
      </c>
      <c r="H141" s="1">
        <v>76522</v>
      </c>
      <c r="I141" s="1">
        <v>3655722</v>
      </c>
      <c r="J141" s="1">
        <v>74104</v>
      </c>
      <c r="K141" s="1">
        <v>493531</v>
      </c>
      <c r="L141" s="1">
        <v>57621</v>
      </c>
      <c r="M141" s="1">
        <v>3218614</v>
      </c>
      <c r="N141" s="1">
        <v>59461</v>
      </c>
      <c r="O141" s="1">
        <v>636390</v>
      </c>
      <c r="P141" s="1">
        <v>99153</v>
      </c>
      <c r="Q141" s="1">
        <v>1014552</v>
      </c>
      <c r="R141" s="1">
        <v>17058</v>
      </c>
      <c r="S141" s="1">
        <v>532139</v>
      </c>
      <c r="T141" s="1">
        <v>81617</v>
      </c>
      <c r="U141" s="1">
        <v>941004</v>
      </c>
      <c r="V141" s="1">
        <v>15097</v>
      </c>
      <c r="W141" s="1">
        <v>496831</v>
      </c>
      <c r="X141" s="1">
        <v>94041</v>
      </c>
      <c r="Y141" s="1">
        <v>839096</v>
      </c>
      <c r="Z141" s="1">
        <v>17040</v>
      </c>
      <c r="AA141" s="1">
        <v>576137</v>
      </c>
      <c r="AB141" s="1">
        <v>76522</v>
      </c>
      <c r="AC141" s="1">
        <v>905833</v>
      </c>
      <c r="AD141" s="1">
        <v>13381</v>
      </c>
      <c r="AE141" s="1">
        <v>458343</v>
      </c>
      <c r="AF141" s="1">
        <v>92425</v>
      </c>
      <c r="AG141" s="1">
        <v>963738</v>
      </c>
      <c r="AH141" s="1">
        <v>23774</v>
      </c>
      <c r="AI141">
        <v>-3.84</v>
      </c>
      <c r="AJ141">
        <v>16.920000000000002</v>
      </c>
      <c r="AK141">
        <v>79.98</v>
      </c>
    </row>
    <row r="142" spans="1:37" x14ac:dyDescent="0.2">
      <c r="A142" t="s">
        <v>252</v>
      </c>
      <c r="B142">
        <v>532010</v>
      </c>
      <c r="C142" s="1">
        <v>2840</v>
      </c>
      <c r="D142" s="1">
        <v>449923</v>
      </c>
      <c r="E142" t="s">
        <v>253</v>
      </c>
      <c r="G142" s="1">
        <v>893387.37</v>
      </c>
      <c r="H142" s="1">
        <v>618144.63</v>
      </c>
      <c r="I142" s="1">
        <v>1124322.71</v>
      </c>
      <c r="J142" s="1">
        <v>154891.74</v>
      </c>
      <c r="K142" s="1">
        <v>789452.84</v>
      </c>
      <c r="L142" s="1">
        <v>502977.86</v>
      </c>
      <c r="M142" s="1">
        <v>938061.92</v>
      </c>
      <c r="N142" s="1">
        <v>53810.17</v>
      </c>
      <c r="S142" s="1">
        <v>860399.51</v>
      </c>
      <c r="T142" s="1">
        <v>591947.85</v>
      </c>
      <c r="U142" s="1">
        <v>218040.26</v>
      </c>
      <c r="V142" s="1">
        <v>22268.69</v>
      </c>
      <c r="W142" s="1">
        <v>923339.26</v>
      </c>
      <c r="X142" s="1">
        <v>628944.31000000006</v>
      </c>
      <c r="Y142" s="1">
        <v>258902.93</v>
      </c>
      <c r="Z142" s="1">
        <v>36507.040000000001</v>
      </c>
      <c r="AA142" s="1">
        <v>893387.37</v>
      </c>
      <c r="AB142" s="1">
        <v>618144.63</v>
      </c>
      <c r="AC142" s="1">
        <v>274407.58</v>
      </c>
      <c r="AD142" s="1">
        <v>21356.83</v>
      </c>
      <c r="AE142" s="1">
        <v>901036.58</v>
      </c>
      <c r="AF142" s="1">
        <v>622649.31000000006</v>
      </c>
      <c r="AG142" s="1">
        <v>285269.32</v>
      </c>
      <c r="AH142" s="1">
        <v>37916.199999999997</v>
      </c>
      <c r="AI142">
        <v>-4.5199999999999996</v>
      </c>
      <c r="AJ142">
        <v>-20.45</v>
      </c>
      <c r="AK142">
        <v>132.66999999999999</v>
      </c>
    </row>
    <row r="143" spans="1:37" x14ac:dyDescent="0.2">
      <c r="A143" t="s">
        <v>254</v>
      </c>
      <c r="B143">
        <v>1178862</v>
      </c>
      <c r="C143" s="1">
        <v>302.3</v>
      </c>
      <c r="D143" s="1">
        <v>31029</v>
      </c>
      <c r="E143" t="s">
        <v>38</v>
      </c>
      <c r="G143" s="1">
        <v>44945.63</v>
      </c>
      <c r="H143" s="1">
        <v>41809.21</v>
      </c>
      <c r="I143" s="1">
        <v>9679.14</v>
      </c>
      <c r="J143" s="1">
        <v>-5926.38</v>
      </c>
      <c r="K143" s="1">
        <v>49893.01</v>
      </c>
      <c r="L143" s="1">
        <v>46806.44</v>
      </c>
      <c r="M143" s="1">
        <v>9992.39</v>
      </c>
      <c r="N143" s="1">
        <v>-5099.5600000000004</v>
      </c>
      <c r="S143" s="1">
        <v>38117.089999999997</v>
      </c>
      <c r="T143" s="1">
        <v>35426.230000000003</v>
      </c>
      <c r="U143" s="1">
        <v>4329.6499999999996</v>
      </c>
      <c r="V143" s="1">
        <v>-3223.63</v>
      </c>
      <c r="AA143" s="1">
        <v>44945.63</v>
      </c>
      <c r="AB143" s="1">
        <v>41809.21</v>
      </c>
      <c r="AC143" s="1">
        <v>4927.1000000000004</v>
      </c>
      <c r="AD143" s="1">
        <v>-3369.83</v>
      </c>
      <c r="AI143">
        <v>-4.09</v>
      </c>
      <c r="AJ143">
        <v>-21.85</v>
      </c>
      <c r="AK143">
        <v>-74.319999999999993</v>
      </c>
    </row>
    <row r="144" spans="1:37" x14ac:dyDescent="0.2">
      <c r="A144" t="s">
        <v>255</v>
      </c>
      <c r="B144">
        <v>1095892</v>
      </c>
      <c r="C144" s="1">
        <v>791.8</v>
      </c>
      <c r="D144" s="1">
        <v>120193</v>
      </c>
      <c r="E144" t="s">
        <v>256</v>
      </c>
      <c r="G144" s="1">
        <v>641110</v>
      </c>
      <c r="H144" s="1">
        <v>208038</v>
      </c>
      <c r="I144" s="1">
        <v>620901</v>
      </c>
      <c r="J144" s="1">
        <v>9078</v>
      </c>
      <c r="K144" s="1">
        <v>655432</v>
      </c>
      <c r="L144" s="1">
        <v>221039</v>
      </c>
      <c r="M144" s="1">
        <v>596946</v>
      </c>
      <c r="N144" s="1">
        <v>-306</v>
      </c>
      <c r="S144" s="1">
        <v>646177</v>
      </c>
      <c r="T144" s="1">
        <v>195139</v>
      </c>
      <c r="U144" s="1">
        <v>166184</v>
      </c>
      <c r="V144" s="1">
        <v>4529</v>
      </c>
      <c r="W144" s="1">
        <v>665513</v>
      </c>
      <c r="X144" s="1">
        <v>194515</v>
      </c>
      <c r="Y144" s="1">
        <v>142900</v>
      </c>
      <c r="Z144" s="1">
        <v>-3534</v>
      </c>
      <c r="AA144" s="1">
        <v>641110</v>
      </c>
      <c r="AB144" s="1">
        <v>208038</v>
      </c>
      <c r="AC144" s="1">
        <v>142431</v>
      </c>
      <c r="AD144" s="1">
        <v>2862</v>
      </c>
      <c r="AE144" s="1">
        <v>643571</v>
      </c>
      <c r="AF144" s="1">
        <v>212447</v>
      </c>
      <c r="AG144" s="1">
        <v>167208</v>
      </c>
      <c r="AH144" s="1">
        <v>1016</v>
      </c>
      <c r="AI144">
        <v>-3.18</v>
      </c>
      <c r="AJ144">
        <v>-15.25</v>
      </c>
      <c r="AK144">
        <v>-20.74</v>
      </c>
    </row>
    <row r="145" spans="1:37" x14ac:dyDescent="0.2">
      <c r="A145" t="s">
        <v>257</v>
      </c>
      <c r="B145">
        <v>1169689</v>
      </c>
      <c r="C145" s="1">
        <v>111.9</v>
      </c>
      <c r="D145" s="1">
        <v>50896</v>
      </c>
      <c r="E145" t="s">
        <v>38</v>
      </c>
      <c r="G145" s="1">
        <v>115949.07</v>
      </c>
      <c r="H145" s="1">
        <v>84661.46</v>
      </c>
      <c r="I145" s="1">
        <v>34825.199999999997</v>
      </c>
      <c r="J145" s="1">
        <v>-70875.8</v>
      </c>
      <c r="K145" s="1">
        <v>201131.66</v>
      </c>
      <c r="L145" s="1">
        <v>153501.9</v>
      </c>
      <c r="M145" s="1">
        <v>17641.73</v>
      </c>
      <c r="N145" s="1">
        <v>-102651.36</v>
      </c>
      <c r="S145" s="1">
        <v>54700.58</v>
      </c>
      <c r="T145" s="1">
        <v>39921.11</v>
      </c>
      <c r="U145" s="1">
        <v>2410.98</v>
      </c>
      <c r="V145" s="1">
        <v>-38423.94</v>
      </c>
      <c r="AA145" s="1">
        <v>115949.07</v>
      </c>
      <c r="AB145" s="1">
        <v>84661.46</v>
      </c>
      <c r="AC145" s="1">
        <v>33811.339999999997</v>
      </c>
      <c r="AD145" s="1">
        <v>-28355.43</v>
      </c>
      <c r="AI145">
        <v>-18.190000000000001</v>
      </c>
      <c r="AJ145">
        <v>-54.38</v>
      </c>
      <c r="AK145">
        <v>-88.06</v>
      </c>
    </row>
    <row r="146" spans="1:37" x14ac:dyDescent="0.2">
      <c r="A146" t="s">
        <v>258</v>
      </c>
      <c r="B146">
        <v>1156926</v>
      </c>
      <c r="C146" s="1">
        <v>122.1</v>
      </c>
      <c r="D146" s="1">
        <v>1836339</v>
      </c>
      <c r="E146" t="s">
        <v>259</v>
      </c>
      <c r="G146" s="1">
        <v>4240213</v>
      </c>
      <c r="H146" s="1">
        <v>2198386</v>
      </c>
      <c r="I146" s="1">
        <v>244287</v>
      </c>
      <c r="J146" s="1">
        <v>90112</v>
      </c>
      <c r="K146" s="1">
        <v>4052839</v>
      </c>
      <c r="L146" s="1">
        <v>2082728</v>
      </c>
      <c r="M146" s="1">
        <v>482217</v>
      </c>
      <c r="N146" s="1">
        <v>277202</v>
      </c>
      <c r="O146" s="1">
        <v>4427802</v>
      </c>
      <c r="P146" s="1">
        <v>2307300</v>
      </c>
      <c r="Q146" s="1">
        <v>97536</v>
      </c>
      <c r="R146" s="1">
        <v>42725</v>
      </c>
      <c r="S146" s="1">
        <v>4384453</v>
      </c>
      <c r="T146" s="1">
        <v>2277797</v>
      </c>
      <c r="U146" s="1">
        <v>137454</v>
      </c>
      <c r="V146" s="1">
        <v>76993</v>
      </c>
      <c r="W146" s="1">
        <v>4275726</v>
      </c>
      <c r="X146" s="1">
        <v>2214876</v>
      </c>
      <c r="Y146" s="1">
        <v>66203</v>
      </c>
      <c r="Z146" s="1">
        <v>30573</v>
      </c>
      <c r="AA146" s="1">
        <v>4240213</v>
      </c>
      <c r="AB146" s="1">
        <v>2198386</v>
      </c>
      <c r="AC146" s="1">
        <v>1614</v>
      </c>
      <c r="AD146" s="1">
        <v>-20292</v>
      </c>
      <c r="AE146" s="1">
        <v>4232142</v>
      </c>
      <c r="AF146" s="1">
        <v>2195826</v>
      </c>
      <c r="AG146" s="1">
        <v>107074</v>
      </c>
      <c r="AH146" s="1">
        <v>54333</v>
      </c>
      <c r="AI146">
        <v>6.25</v>
      </c>
      <c r="AJ146">
        <v>69.66</v>
      </c>
      <c r="AK146">
        <v>10.28</v>
      </c>
    </row>
    <row r="147" spans="1:37" x14ac:dyDescent="0.2">
      <c r="A147" t="s">
        <v>260</v>
      </c>
      <c r="B147">
        <v>1118116</v>
      </c>
      <c r="C147" s="1">
        <v>80</v>
      </c>
      <c r="D147" s="1">
        <v>175315</v>
      </c>
      <c r="E147" t="s">
        <v>38</v>
      </c>
      <c r="G147" s="1">
        <v>102303</v>
      </c>
      <c r="H147" s="1">
        <v>45247</v>
      </c>
      <c r="I147" s="1">
        <v>131</v>
      </c>
      <c r="J147" s="1">
        <v>-5073</v>
      </c>
      <c r="K147" s="1">
        <v>105801</v>
      </c>
      <c r="L147" s="1">
        <v>48423</v>
      </c>
      <c r="M147" s="1">
        <v>142</v>
      </c>
      <c r="N147" s="1">
        <v>-6910</v>
      </c>
      <c r="O147" s="1">
        <v>103442</v>
      </c>
      <c r="P147" s="1">
        <v>41221</v>
      </c>
      <c r="Q147" s="1">
        <v>20</v>
      </c>
      <c r="R147" s="1">
        <v>-1437</v>
      </c>
      <c r="S147" s="1">
        <v>100586</v>
      </c>
      <c r="T147" s="1">
        <v>42536</v>
      </c>
      <c r="U147" s="1">
        <v>19</v>
      </c>
      <c r="V147" s="1">
        <v>-831</v>
      </c>
      <c r="W147" s="1">
        <v>100497</v>
      </c>
      <c r="X147" s="1">
        <v>43647</v>
      </c>
      <c r="Y147" s="1">
        <v>20</v>
      </c>
      <c r="Z147" s="1">
        <v>-1737</v>
      </c>
      <c r="AA147" s="1">
        <v>102303</v>
      </c>
      <c r="AB147" s="1">
        <v>45247</v>
      </c>
      <c r="AC147" s="1">
        <v>25</v>
      </c>
      <c r="AD147" s="1">
        <v>-1331</v>
      </c>
      <c r="AE147" s="1">
        <v>102499</v>
      </c>
      <c r="AF147" s="1">
        <v>46235</v>
      </c>
      <c r="AG147" s="1">
        <v>35</v>
      </c>
      <c r="AH147" s="1">
        <v>-1025</v>
      </c>
      <c r="AI147">
        <v>8.86</v>
      </c>
      <c r="AJ147">
        <v>18.37</v>
      </c>
      <c r="AK147">
        <v>47.69</v>
      </c>
    </row>
    <row r="148" spans="1:37" x14ac:dyDescent="0.2">
      <c r="A148" t="s">
        <v>261</v>
      </c>
      <c r="B148">
        <v>1180181</v>
      </c>
      <c r="C148" s="1">
        <v>111.8</v>
      </c>
      <c r="D148" s="1">
        <v>30940</v>
      </c>
      <c r="E148" t="s">
        <v>38</v>
      </c>
      <c r="G148" s="1">
        <v>11319</v>
      </c>
      <c r="H148" s="1">
        <v>509</v>
      </c>
      <c r="I148" s="1">
        <v>33806</v>
      </c>
      <c r="J148" s="1">
        <v>-1335</v>
      </c>
      <c r="K148" s="1">
        <v>4066</v>
      </c>
      <c r="L148" s="1">
        <v>-1198</v>
      </c>
      <c r="M148" s="1">
        <v>30359</v>
      </c>
      <c r="N148" s="1">
        <v>-3877</v>
      </c>
      <c r="S148" s="1">
        <v>11300</v>
      </c>
      <c r="T148" s="1">
        <v>819</v>
      </c>
      <c r="U148" s="1">
        <v>19267</v>
      </c>
      <c r="V148" s="1">
        <v>102</v>
      </c>
      <c r="AA148" s="1">
        <v>11319</v>
      </c>
      <c r="AB148" s="1">
        <v>509</v>
      </c>
      <c r="AC148" s="1">
        <v>19190</v>
      </c>
      <c r="AD148" s="1">
        <v>-690</v>
      </c>
      <c r="AI148">
        <v>1.45</v>
      </c>
      <c r="AJ148">
        <v>149.06</v>
      </c>
      <c r="AK148">
        <v>-35.18</v>
      </c>
    </row>
    <row r="149" spans="1:37" x14ac:dyDescent="0.2">
      <c r="A149" t="s">
        <v>262</v>
      </c>
      <c r="B149">
        <v>1184365</v>
      </c>
      <c r="C149" s="1">
        <v>2118</v>
      </c>
      <c r="D149" s="1">
        <v>87628</v>
      </c>
      <c r="E149" t="s">
        <v>38</v>
      </c>
      <c r="G149" s="1">
        <v>1185</v>
      </c>
      <c r="H149" s="1">
        <v>1683</v>
      </c>
      <c r="I149" s="1">
        <v>68</v>
      </c>
      <c r="J149" s="1">
        <v>-2472</v>
      </c>
      <c r="K149" s="1">
        <v>2521</v>
      </c>
      <c r="L149" s="1">
        <v>1518</v>
      </c>
      <c r="M149" s="1">
        <v>463</v>
      </c>
      <c r="N149" s="1">
        <v>-8119</v>
      </c>
      <c r="S149" s="1">
        <v>1152</v>
      </c>
      <c r="T149" s="1">
        <v>1797</v>
      </c>
      <c r="V149" s="1">
        <v>-1118</v>
      </c>
      <c r="AA149" s="1">
        <v>1185</v>
      </c>
      <c r="AB149" s="1">
        <v>1683</v>
      </c>
      <c r="AD149" s="1">
        <v>-1362</v>
      </c>
      <c r="AI149">
        <v>0.09</v>
      </c>
      <c r="AJ149">
        <v>28.36</v>
      </c>
      <c r="AK149">
        <v>41.2</v>
      </c>
    </row>
    <row r="150" spans="1:37" x14ac:dyDescent="0.2">
      <c r="A150" t="s">
        <v>263</v>
      </c>
      <c r="B150">
        <v>1093202</v>
      </c>
      <c r="C150" s="1">
        <v>15200</v>
      </c>
      <c r="D150" s="1">
        <v>2405654</v>
      </c>
      <c r="E150" t="s">
        <v>264</v>
      </c>
      <c r="G150" s="1">
        <v>6178997</v>
      </c>
      <c r="H150" s="1">
        <v>1452288</v>
      </c>
      <c r="I150" s="1">
        <v>6760063</v>
      </c>
      <c r="J150" s="1">
        <v>127838</v>
      </c>
      <c r="K150" s="1">
        <v>5870124</v>
      </c>
      <c r="L150" s="1">
        <v>1322287</v>
      </c>
      <c r="M150" s="1">
        <v>7444596</v>
      </c>
      <c r="N150" s="1">
        <v>66436</v>
      </c>
      <c r="O150" s="1">
        <v>7179684</v>
      </c>
      <c r="P150" s="1">
        <v>1522592</v>
      </c>
      <c r="Q150" s="1">
        <v>1727366</v>
      </c>
      <c r="R150" s="1">
        <v>38263</v>
      </c>
      <c r="S150" s="1">
        <v>6926468</v>
      </c>
      <c r="T150" s="1">
        <v>1584329</v>
      </c>
      <c r="U150" s="1">
        <v>1505230</v>
      </c>
      <c r="V150" s="1">
        <v>112349</v>
      </c>
      <c r="W150" s="1">
        <v>6391957</v>
      </c>
      <c r="X150" s="1">
        <v>1471980</v>
      </c>
      <c r="Y150" s="1">
        <v>1533233</v>
      </c>
      <c r="Z150" s="1">
        <v>19692</v>
      </c>
      <c r="AA150" s="1">
        <v>6178997</v>
      </c>
      <c r="AB150" s="1">
        <v>1452288</v>
      </c>
      <c r="AC150" s="1">
        <v>1530920</v>
      </c>
      <c r="AD150" s="1">
        <v>67801</v>
      </c>
      <c r="AE150" s="1">
        <v>6065671</v>
      </c>
      <c r="AF150" s="1">
        <v>1382324</v>
      </c>
      <c r="AG150" s="1">
        <v>1817743</v>
      </c>
      <c r="AH150" s="1">
        <v>41392</v>
      </c>
      <c r="AI150">
        <v>15.14</v>
      </c>
      <c r="AJ150">
        <v>74.97</v>
      </c>
      <c r="AK150">
        <v>41.66</v>
      </c>
    </row>
    <row r="151" spans="1:37" x14ac:dyDescent="0.2">
      <c r="A151" t="s">
        <v>265</v>
      </c>
      <c r="B151">
        <v>1190628</v>
      </c>
      <c r="C151" s="1">
        <v>2387</v>
      </c>
      <c r="D151" s="1">
        <v>538351</v>
      </c>
      <c r="E151" t="s">
        <v>266</v>
      </c>
      <c r="G151" s="1">
        <v>1363392</v>
      </c>
      <c r="H151" s="1">
        <v>522632</v>
      </c>
      <c r="I151" s="1">
        <v>88070</v>
      </c>
      <c r="J151" s="1">
        <v>67112</v>
      </c>
      <c r="K151" s="1">
        <v>1133378</v>
      </c>
      <c r="L151" s="1">
        <v>471087</v>
      </c>
      <c r="M151" s="1">
        <v>82050</v>
      </c>
      <c r="N151" s="1">
        <v>41295</v>
      </c>
      <c r="O151" s="1">
        <v>1350793</v>
      </c>
      <c r="P151" s="1">
        <v>554308</v>
      </c>
      <c r="Q151" s="1">
        <v>26021</v>
      </c>
      <c r="R151" s="1">
        <v>11270</v>
      </c>
      <c r="S151" s="1">
        <v>1365797</v>
      </c>
      <c r="T151" s="1">
        <v>551628</v>
      </c>
      <c r="U151" s="1">
        <v>24678</v>
      </c>
      <c r="V151" s="1">
        <v>9423</v>
      </c>
      <c r="W151" s="1">
        <v>1376748</v>
      </c>
      <c r="X151" s="1">
        <v>544966</v>
      </c>
      <c r="Y151" s="1">
        <v>24532</v>
      </c>
      <c r="Z151" s="1">
        <v>24022</v>
      </c>
      <c r="AA151" s="1">
        <v>1363392</v>
      </c>
      <c r="AB151" s="1">
        <v>522632</v>
      </c>
      <c r="AC151" s="1">
        <v>22445</v>
      </c>
      <c r="AD151" s="1">
        <v>20526</v>
      </c>
      <c r="AE151" s="1">
        <v>1219169</v>
      </c>
      <c r="AF151" s="1">
        <v>515172</v>
      </c>
      <c r="AG151" s="1">
        <v>22915</v>
      </c>
      <c r="AH151" s="1">
        <v>27348</v>
      </c>
      <c r="AI151">
        <v>24.67</v>
      </c>
      <c r="AJ151">
        <v>60.5</v>
      </c>
      <c r="AK151">
        <v>108.35</v>
      </c>
    </row>
    <row r="152" spans="1:37" x14ac:dyDescent="0.2">
      <c r="A152" t="s">
        <v>267</v>
      </c>
      <c r="B152">
        <v>1103852</v>
      </c>
      <c r="C152" s="1">
        <v>119.1</v>
      </c>
      <c r="D152" s="1">
        <v>988708</v>
      </c>
      <c r="E152" t="s">
        <v>268</v>
      </c>
      <c r="G152" s="1">
        <v>104280</v>
      </c>
      <c r="H152" s="1">
        <v>101465</v>
      </c>
      <c r="I152" s="1">
        <v>306</v>
      </c>
      <c r="J152" s="1">
        <v>22096</v>
      </c>
      <c r="K152" s="1">
        <v>80658</v>
      </c>
      <c r="L152" s="1">
        <v>79187</v>
      </c>
      <c r="M152" s="1">
        <v>306</v>
      </c>
      <c r="N152" s="1">
        <v>-1177</v>
      </c>
      <c r="S152" s="1">
        <v>100002</v>
      </c>
      <c r="T152" s="1">
        <v>98227</v>
      </c>
      <c r="U152" s="1">
        <v>153</v>
      </c>
      <c r="V152" s="1">
        <v>-2804</v>
      </c>
      <c r="AA152" s="1">
        <v>104280</v>
      </c>
      <c r="AB152" s="1">
        <v>101465</v>
      </c>
      <c r="AC152" s="1">
        <v>153</v>
      </c>
      <c r="AD152" s="1">
        <v>3320</v>
      </c>
      <c r="AI152">
        <v>13.56</v>
      </c>
      <c r="AJ152">
        <v>36.69</v>
      </c>
      <c r="AK152">
        <v>70.66</v>
      </c>
    </row>
    <row r="153" spans="1:37" x14ac:dyDescent="0.2">
      <c r="A153" t="s">
        <v>269</v>
      </c>
      <c r="B153">
        <v>639013</v>
      </c>
      <c r="C153" s="1">
        <v>882.2</v>
      </c>
      <c r="D153" s="1">
        <v>1248512</v>
      </c>
      <c r="E153" t="s">
        <v>270</v>
      </c>
      <c r="G153" s="1">
        <v>23829000</v>
      </c>
      <c r="H153" s="1">
        <v>1828000</v>
      </c>
      <c r="I153" s="1">
        <v>973000</v>
      </c>
      <c r="J153" s="1">
        <v>31000</v>
      </c>
      <c r="K153" s="1">
        <v>29443000</v>
      </c>
      <c r="L153" s="1">
        <v>1710000</v>
      </c>
      <c r="M153" s="1">
        <v>1131000</v>
      </c>
      <c r="N153" s="1">
        <v>-698000</v>
      </c>
      <c r="O153" s="1">
        <v>25470000</v>
      </c>
      <c r="P153" s="1">
        <v>1876000</v>
      </c>
      <c r="Q153" s="1">
        <v>235000</v>
      </c>
      <c r="R153" s="1">
        <v>-16000</v>
      </c>
      <c r="S153" s="1">
        <v>25601000</v>
      </c>
      <c r="T153" s="1">
        <v>1902000</v>
      </c>
      <c r="U153" s="1">
        <v>217000</v>
      </c>
      <c r="V153" s="1">
        <v>22000</v>
      </c>
      <c r="W153" s="1">
        <v>24352000</v>
      </c>
      <c r="X153" s="1">
        <v>1927000</v>
      </c>
      <c r="Y153" s="1">
        <v>215000</v>
      </c>
      <c r="Z153" s="1">
        <v>87000</v>
      </c>
      <c r="AA153" s="1">
        <v>23829000</v>
      </c>
      <c r="AB153" s="1">
        <v>1828000</v>
      </c>
      <c r="AC153" s="1">
        <v>210000</v>
      </c>
      <c r="AD153" s="1">
        <v>24000</v>
      </c>
      <c r="AE153" s="1">
        <v>24925000</v>
      </c>
      <c r="AF153" s="1">
        <v>1816000</v>
      </c>
      <c r="AG153" s="1">
        <v>225000</v>
      </c>
      <c r="AH153" s="1">
        <v>-109000</v>
      </c>
      <c r="AI153">
        <v>16.739999999999998</v>
      </c>
      <c r="AJ153">
        <v>90.55</v>
      </c>
      <c r="AK153">
        <v>37.22</v>
      </c>
    </row>
    <row r="154" spans="1:37" x14ac:dyDescent="0.2">
      <c r="A154" t="s">
        <v>271</v>
      </c>
      <c r="B154">
        <v>1173491</v>
      </c>
      <c r="C154" s="1">
        <v>4920</v>
      </c>
      <c r="D154" s="1">
        <v>1460787</v>
      </c>
      <c r="E154" t="s">
        <v>272</v>
      </c>
      <c r="G154" s="1">
        <v>1914377</v>
      </c>
      <c r="H154" s="1">
        <v>832817</v>
      </c>
      <c r="I154" s="1">
        <v>3555976</v>
      </c>
      <c r="J154" s="1">
        <v>111772</v>
      </c>
      <c r="K154" s="1">
        <v>1850949</v>
      </c>
      <c r="L154" s="1">
        <v>815672</v>
      </c>
      <c r="M154" s="1">
        <v>3372866</v>
      </c>
      <c r="N154" s="1">
        <v>73066</v>
      </c>
      <c r="O154" s="1">
        <v>2143316</v>
      </c>
      <c r="P154" s="1">
        <v>997254</v>
      </c>
      <c r="Q154" s="1">
        <v>974093</v>
      </c>
      <c r="R154" s="1">
        <v>27366</v>
      </c>
      <c r="S154" s="1">
        <v>2128306</v>
      </c>
      <c r="T154" s="1">
        <v>878709</v>
      </c>
      <c r="U154" s="1">
        <v>958250</v>
      </c>
      <c r="V154" s="1">
        <v>53865</v>
      </c>
      <c r="W154" s="1">
        <v>2063481</v>
      </c>
      <c r="X154" s="1">
        <v>845423</v>
      </c>
      <c r="Y154" s="1">
        <v>877000</v>
      </c>
      <c r="Z154" s="1">
        <v>14525</v>
      </c>
      <c r="AA154" s="1">
        <v>1914377</v>
      </c>
      <c r="AB154" s="1">
        <v>832817</v>
      </c>
      <c r="AC154" s="1">
        <v>898245</v>
      </c>
      <c r="AD154" s="1">
        <v>19132</v>
      </c>
      <c r="AE154" s="1">
        <v>1993058</v>
      </c>
      <c r="AF154" s="1">
        <v>868626</v>
      </c>
      <c r="AG154" s="1">
        <v>965216</v>
      </c>
      <c r="AH154" s="1">
        <v>32560</v>
      </c>
      <c r="AI154">
        <v>-2.99</v>
      </c>
      <c r="AJ154">
        <v>30.93</v>
      </c>
      <c r="AK154">
        <v>40.97</v>
      </c>
    </row>
    <row r="155" spans="1:37" x14ac:dyDescent="0.2">
      <c r="A155" t="s">
        <v>273</v>
      </c>
      <c r="B155">
        <v>1196211</v>
      </c>
      <c r="C155" s="1">
        <v>6050</v>
      </c>
      <c r="D155" s="1">
        <v>898818</v>
      </c>
      <c r="E155" t="s">
        <v>274</v>
      </c>
      <c r="G155" s="1">
        <v>1864374</v>
      </c>
      <c r="H155" s="1">
        <v>834031</v>
      </c>
      <c r="I155" s="1">
        <v>58188</v>
      </c>
      <c r="J155" s="1">
        <v>66219</v>
      </c>
      <c r="K155" s="1">
        <v>1702840</v>
      </c>
      <c r="L155" s="1">
        <v>767812</v>
      </c>
      <c r="M155" s="1">
        <v>55767</v>
      </c>
      <c r="N155" s="1">
        <v>84097</v>
      </c>
      <c r="O155" s="1">
        <v>1990786</v>
      </c>
      <c r="P155" s="1">
        <v>1011413</v>
      </c>
      <c r="Q155" s="1">
        <v>15907</v>
      </c>
      <c r="R155" s="1">
        <v>1573</v>
      </c>
      <c r="S155" s="1">
        <v>1844818</v>
      </c>
      <c r="T155" s="1">
        <v>1007928</v>
      </c>
      <c r="U155" s="1">
        <v>14433</v>
      </c>
      <c r="V155" s="1">
        <v>1176</v>
      </c>
      <c r="W155" s="1">
        <v>1817034</v>
      </c>
      <c r="X155" s="1">
        <v>837998</v>
      </c>
      <c r="Y155" s="1">
        <v>14537</v>
      </c>
      <c r="Z155" s="1">
        <v>2522</v>
      </c>
      <c r="AA155" s="1">
        <v>1864374</v>
      </c>
      <c r="AB155" s="1">
        <v>834031</v>
      </c>
      <c r="AC155" s="1">
        <v>14107</v>
      </c>
      <c r="AD155" s="1">
        <v>63116</v>
      </c>
      <c r="AE155" s="1">
        <v>1757174</v>
      </c>
      <c r="AF155" s="1">
        <v>770915</v>
      </c>
      <c r="AG155" s="1">
        <v>15518</v>
      </c>
      <c r="AH155" s="1">
        <v>-106</v>
      </c>
      <c r="AI155">
        <v>0.7</v>
      </c>
      <c r="AJ155">
        <v>0</v>
      </c>
      <c r="AK155">
        <v>0</v>
      </c>
    </row>
    <row r="156" spans="1:37" x14ac:dyDescent="0.2">
      <c r="A156" t="s">
        <v>275</v>
      </c>
      <c r="B156">
        <v>822015</v>
      </c>
      <c r="C156" s="1">
        <v>3468</v>
      </c>
      <c r="D156" s="1">
        <v>4008977</v>
      </c>
      <c r="E156" t="s">
        <v>276</v>
      </c>
      <c r="G156" s="1">
        <v>2348990</v>
      </c>
      <c r="H156" s="1">
        <v>1290626</v>
      </c>
      <c r="I156" s="1">
        <v>1497264</v>
      </c>
      <c r="J156" s="1">
        <v>68366</v>
      </c>
      <c r="K156" s="1">
        <v>2369282</v>
      </c>
      <c r="L156" s="1">
        <v>1221621</v>
      </c>
      <c r="M156" s="1">
        <v>1615581</v>
      </c>
      <c r="N156" s="1">
        <v>123199</v>
      </c>
      <c r="S156" s="1">
        <v>2459618</v>
      </c>
      <c r="T156" s="1">
        <v>1237395</v>
      </c>
      <c r="U156" s="1">
        <v>378171</v>
      </c>
      <c r="V156" s="1">
        <v>5443</v>
      </c>
      <c r="W156" s="1">
        <v>2462607</v>
      </c>
      <c r="X156" s="1">
        <v>1240530</v>
      </c>
      <c r="Y156" s="1">
        <v>295834</v>
      </c>
      <c r="Z156" s="1">
        <v>-52024</v>
      </c>
      <c r="AA156" s="1">
        <v>2348990</v>
      </c>
      <c r="AB156" s="1">
        <v>1290626</v>
      </c>
      <c r="AC156" s="1">
        <v>338351</v>
      </c>
      <c r="AD156" s="1">
        <v>17218</v>
      </c>
      <c r="AE156" s="1">
        <v>2341434</v>
      </c>
      <c r="AF156" s="1">
        <v>1275157</v>
      </c>
      <c r="AG156" s="1">
        <v>429838</v>
      </c>
      <c r="AH156" s="1">
        <v>31219</v>
      </c>
      <c r="AI156">
        <v>31.85</v>
      </c>
      <c r="AJ156">
        <v>52.98</v>
      </c>
      <c r="AK156">
        <v>30.13</v>
      </c>
    </row>
    <row r="157" spans="1:37" x14ac:dyDescent="0.2">
      <c r="A157" t="s">
        <v>277</v>
      </c>
      <c r="B157">
        <v>1095405</v>
      </c>
      <c r="C157" s="1">
        <v>35</v>
      </c>
      <c r="D157" s="1">
        <v>3881</v>
      </c>
      <c r="E157" t="s">
        <v>38</v>
      </c>
      <c r="G157" s="1">
        <v>2630</v>
      </c>
      <c r="H157" s="1">
        <v>1616</v>
      </c>
      <c r="J157" s="1">
        <v>-3461</v>
      </c>
      <c r="K157" s="1">
        <v>8200</v>
      </c>
      <c r="L157" s="1">
        <v>5071</v>
      </c>
      <c r="N157" s="1">
        <v>-28828</v>
      </c>
      <c r="S157" s="1">
        <v>1656</v>
      </c>
      <c r="T157" s="1">
        <v>687</v>
      </c>
      <c r="V157" s="1">
        <v>-929</v>
      </c>
      <c r="AA157" s="1">
        <v>2630</v>
      </c>
      <c r="AB157" s="1">
        <v>1616</v>
      </c>
      <c r="AD157" s="1">
        <v>-1190</v>
      </c>
      <c r="AI157">
        <v>-31.37</v>
      </c>
      <c r="AJ157">
        <v>-24.89</v>
      </c>
      <c r="AK157">
        <v>-82.86</v>
      </c>
    </row>
    <row r="158" spans="1:37" x14ac:dyDescent="0.2">
      <c r="A158" t="s">
        <v>278</v>
      </c>
      <c r="B158">
        <v>1142587</v>
      </c>
      <c r="C158" s="1">
        <v>716.3</v>
      </c>
      <c r="D158" s="1">
        <v>727663</v>
      </c>
      <c r="E158" t="s">
        <v>279</v>
      </c>
      <c r="G158" s="1">
        <v>1383609</v>
      </c>
      <c r="H158" s="1">
        <v>124383</v>
      </c>
      <c r="I158" s="1">
        <v>552222</v>
      </c>
      <c r="J158" s="1">
        <v>46501</v>
      </c>
      <c r="K158" s="1">
        <v>1266407</v>
      </c>
      <c r="L158" s="1">
        <v>121468</v>
      </c>
      <c r="M158" s="1">
        <v>508515</v>
      </c>
      <c r="N158" s="1">
        <v>40063</v>
      </c>
      <c r="S158" s="1">
        <v>1451251</v>
      </c>
      <c r="T158" s="1">
        <v>100990</v>
      </c>
      <c r="U158" s="1">
        <v>141416</v>
      </c>
      <c r="V158" s="1">
        <v>4961</v>
      </c>
      <c r="W158" s="1">
        <v>1445942</v>
      </c>
      <c r="X158" s="1">
        <v>106128</v>
      </c>
      <c r="Y158" s="1">
        <v>142996</v>
      </c>
      <c r="Z158" s="1">
        <v>8007</v>
      </c>
      <c r="AA158" s="1">
        <v>1383609</v>
      </c>
      <c r="AB158" s="1">
        <v>124383</v>
      </c>
      <c r="AC158" s="1">
        <v>141340</v>
      </c>
      <c r="AD158" s="1">
        <v>11691</v>
      </c>
      <c r="AE158" s="1">
        <v>1328726</v>
      </c>
      <c r="AF158" s="1">
        <v>111295</v>
      </c>
      <c r="AG158" s="1">
        <v>147261</v>
      </c>
      <c r="AH158" s="1">
        <v>10201</v>
      </c>
      <c r="AI158">
        <v>2.25</v>
      </c>
      <c r="AJ158">
        <v>35.119999999999997</v>
      </c>
      <c r="AK158">
        <v>121.67</v>
      </c>
    </row>
    <row r="159" spans="1:37" x14ac:dyDescent="0.2">
      <c r="A159" t="s">
        <v>280</v>
      </c>
      <c r="B159">
        <v>1172204</v>
      </c>
      <c r="C159" s="1">
        <v>133.5</v>
      </c>
      <c r="D159" s="1">
        <v>37829</v>
      </c>
      <c r="E159" t="s">
        <v>38</v>
      </c>
      <c r="G159" s="1">
        <v>29952.81</v>
      </c>
      <c r="H159" s="1">
        <v>18183.939999999999</v>
      </c>
      <c r="I159" s="1">
        <v>9591.61</v>
      </c>
      <c r="J159" s="1">
        <v>-34351.089999999997</v>
      </c>
      <c r="K159" s="1">
        <v>70468.98</v>
      </c>
      <c r="L159" s="1">
        <v>50908.57</v>
      </c>
      <c r="M159" s="1">
        <v>17522.04</v>
      </c>
      <c r="N159" s="1">
        <v>-41112.050000000003</v>
      </c>
      <c r="S159" s="1">
        <v>23691.67</v>
      </c>
      <c r="T159" s="1">
        <v>16269.9</v>
      </c>
      <c r="U159" s="1">
        <v>5270.44</v>
      </c>
      <c r="V159" s="1">
        <v>-2431.21</v>
      </c>
      <c r="AA159" s="1">
        <v>29952.81</v>
      </c>
      <c r="AB159" s="1">
        <v>18183.939999999999</v>
      </c>
      <c r="AC159" s="1">
        <v>4952.63</v>
      </c>
      <c r="AD159" s="1">
        <v>-18027.12</v>
      </c>
      <c r="AI159">
        <v>-5</v>
      </c>
      <c r="AJ159">
        <v>110.93</v>
      </c>
      <c r="AK159">
        <v>-81.11</v>
      </c>
    </row>
    <row r="160" spans="1:37" x14ac:dyDescent="0.2">
      <c r="A160" t="s">
        <v>281</v>
      </c>
      <c r="B160">
        <v>1119924</v>
      </c>
      <c r="C160" s="1">
        <v>166.3</v>
      </c>
      <c r="D160" s="1">
        <v>71387</v>
      </c>
      <c r="E160" t="s">
        <v>38</v>
      </c>
      <c r="G160" s="1">
        <v>18938.87</v>
      </c>
      <c r="H160" s="1">
        <v>18297</v>
      </c>
      <c r="J160" s="1">
        <v>-3409.95</v>
      </c>
      <c r="K160" s="1">
        <v>22636.11</v>
      </c>
      <c r="L160" s="1">
        <v>21722.1</v>
      </c>
      <c r="N160" s="1">
        <v>-3369.48</v>
      </c>
      <c r="S160" s="1">
        <v>15622.48</v>
      </c>
      <c r="T160" s="1">
        <v>15035.75</v>
      </c>
      <c r="V160" s="1">
        <v>-1800.65</v>
      </c>
      <c r="AA160" s="1">
        <v>18938.87</v>
      </c>
      <c r="AB160" s="1">
        <v>18297</v>
      </c>
      <c r="AD160" s="1">
        <v>-1801.62</v>
      </c>
      <c r="AI160">
        <v>42.17</v>
      </c>
      <c r="AJ160">
        <v>128.86000000000001</v>
      </c>
      <c r="AK160">
        <v>103.99</v>
      </c>
    </row>
    <row r="161" spans="1:37" x14ac:dyDescent="0.2">
      <c r="A161" t="s">
        <v>282</v>
      </c>
      <c r="B161">
        <v>1184985</v>
      </c>
      <c r="C161" s="1">
        <v>1858</v>
      </c>
      <c r="D161" s="1">
        <v>879510</v>
      </c>
      <c r="E161" t="s">
        <v>283</v>
      </c>
      <c r="G161" s="1">
        <v>638206.78</v>
      </c>
      <c r="H161" s="1">
        <v>332894.52</v>
      </c>
      <c r="I161" s="1">
        <v>998326.15</v>
      </c>
      <c r="J161" s="1">
        <v>57764.83</v>
      </c>
      <c r="K161" s="1">
        <v>627648.74</v>
      </c>
      <c r="L161" s="1">
        <v>288328.37</v>
      </c>
      <c r="M161" s="1">
        <v>1035751.54</v>
      </c>
      <c r="N161" s="1">
        <v>51891.49</v>
      </c>
      <c r="O161" s="1">
        <v>547242.18000000005</v>
      </c>
      <c r="P161" s="1">
        <v>323601.2</v>
      </c>
      <c r="Q161" s="1">
        <v>219095.23</v>
      </c>
      <c r="R161" s="1">
        <v>10757.72</v>
      </c>
      <c r="S161" s="1">
        <v>572268.86</v>
      </c>
      <c r="T161" s="1">
        <v>322750.98</v>
      </c>
      <c r="U161" s="1">
        <v>211856.01</v>
      </c>
      <c r="V161" s="1">
        <v>10085.65</v>
      </c>
      <c r="W161" s="1">
        <v>668916.52</v>
      </c>
      <c r="X161" s="1">
        <v>350644.57</v>
      </c>
      <c r="Y161" s="1">
        <v>299083.34999999998</v>
      </c>
      <c r="Z161" s="1">
        <v>17366.78</v>
      </c>
      <c r="AA161" s="1">
        <v>638206.78</v>
      </c>
      <c r="AB161" s="1">
        <v>332894.52</v>
      </c>
      <c r="AC161" s="1">
        <v>235085.62</v>
      </c>
      <c r="AD161" s="1">
        <v>14905.29</v>
      </c>
      <c r="AE161" s="1">
        <v>655813</v>
      </c>
      <c r="AF161" s="1">
        <v>326498.55</v>
      </c>
      <c r="AG161" s="1">
        <v>231418.67</v>
      </c>
      <c r="AH161" s="1">
        <v>14261.24</v>
      </c>
      <c r="AI161">
        <v>7.98</v>
      </c>
      <c r="AJ161">
        <v>13.78</v>
      </c>
      <c r="AK161">
        <v>8.51</v>
      </c>
    </row>
    <row r="162" spans="1:37" x14ac:dyDescent="0.2">
      <c r="A162" t="s">
        <v>284</v>
      </c>
      <c r="B162">
        <v>1121474</v>
      </c>
      <c r="C162" s="1">
        <v>898.9</v>
      </c>
      <c r="D162" s="1">
        <v>783953</v>
      </c>
      <c r="E162" t="s">
        <v>38</v>
      </c>
      <c r="G162" s="1">
        <v>277672</v>
      </c>
      <c r="H162" s="1">
        <v>131022</v>
      </c>
      <c r="I162" s="1">
        <v>38481</v>
      </c>
      <c r="J162" s="1">
        <v>-31102</v>
      </c>
      <c r="K162" s="1">
        <v>158473</v>
      </c>
      <c r="L162" s="1">
        <v>-42842</v>
      </c>
      <c r="M162" s="1">
        <v>55766</v>
      </c>
      <c r="N162" s="1">
        <v>-26154</v>
      </c>
      <c r="O162" s="1">
        <v>424643</v>
      </c>
      <c r="P162" s="1">
        <v>136748</v>
      </c>
      <c r="Q162" s="1">
        <v>13620</v>
      </c>
      <c r="R162" s="1">
        <v>4060</v>
      </c>
      <c r="S162" s="1">
        <v>285108</v>
      </c>
      <c r="T162" s="1">
        <v>132688</v>
      </c>
      <c r="U162" s="1">
        <v>17883</v>
      </c>
      <c r="V162" s="1">
        <v>-1460</v>
      </c>
      <c r="W162" s="1">
        <v>243396</v>
      </c>
      <c r="X162" s="1">
        <v>134148</v>
      </c>
      <c r="Y162" s="1">
        <v>22591</v>
      </c>
      <c r="Z162" s="1">
        <v>-2183</v>
      </c>
      <c r="AA162" s="1">
        <v>277672</v>
      </c>
      <c r="AB162" s="1">
        <v>131022</v>
      </c>
      <c r="AC162" s="1">
        <v>14236</v>
      </c>
      <c r="AD162" s="1">
        <v>-6726</v>
      </c>
      <c r="AE162" s="1">
        <v>199236</v>
      </c>
      <c r="AF162" s="1">
        <v>74404</v>
      </c>
      <c r="AG162" s="1">
        <v>12648</v>
      </c>
      <c r="AH162" s="1">
        <v>-6119</v>
      </c>
      <c r="AI162">
        <v>39.090000000000003</v>
      </c>
      <c r="AJ162">
        <v>16.03</v>
      </c>
      <c r="AK162">
        <v>36.36</v>
      </c>
    </row>
    <row r="163" spans="1:37" x14ac:dyDescent="0.2">
      <c r="A163" t="s">
        <v>285</v>
      </c>
      <c r="B163">
        <v>612010</v>
      </c>
      <c r="C163" s="1">
        <v>3500</v>
      </c>
      <c r="D163" s="1">
        <v>1416091</v>
      </c>
      <c r="E163" t="s">
        <v>286</v>
      </c>
      <c r="G163" s="1">
        <v>10594181</v>
      </c>
      <c r="H163" s="1">
        <v>1778987</v>
      </c>
      <c r="I163" s="1">
        <v>933842</v>
      </c>
      <c r="J163" s="1">
        <v>91291</v>
      </c>
      <c r="K163" s="1">
        <v>9221385</v>
      </c>
      <c r="L163" s="1">
        <v>1575986</v>
      </c>
      <c r="M163" s="1">
        <v>892261</v>
      </c>
      <c r="N163" s="1">
        <v>69155</v>
      </c>
      <c r="O163" s="1">
        <v>10796629</v>
      </c>
      <c r="P163" s="1">
        <v>1777069</v>
      </c>
      <c r="Q163" s="1">
        <v>320044</v>
      </c>
      <c r="R163" s="1">
        <v>20510</v>
      </c>
      <c r="S163" s="1">
        <v>10732865</v>
      </c>
      <c r="T163" s="1">
        <v>1785430</v>
      </c>
      <c r="U163" s="1">
        <v>197716</v>
      </c>
      <c r="V163" s="1">
        <v>24011</v>
      </c>
      <c r="W163" s="1">
        <v>10820327</v>
      </c>
      <c r="X163" s="1">
        <v>1808258</v>
      </c>
      <c r="Y163" s="1">
        <v>240826</v>
      </c>
      <c r="Z163" s="1">
        <v>153</v>
      </c>
      <c r="AA163" s="1">
        <v>10594181</v>
      </c>
      <c r="AB163" s="1">
        <v>1778987</v>
      </c>
      <c r="AC163" s="1">
        <v>208199</v>
      </c>
      <c r="AD163" s="1">
        <v>87406</v>
      </c>
      <c r="AE163" s="1">
        <v>10447555</v>
      </c>
      <c r="AF163" s="1">
        <v>1762943</v>
      </c>
      <c r="AG163" s="1">
        <v>220584</v>
      </c>
      <c r="AH163" s="1">
        <v>-75280</v>
      </c>
      <c r="AI163">
        <v>-2.82</v>
      </c>
      <c r="AJ163">
        <v>5.44</v>
      </c>
      <c r="AK163">
        <v>-22.57</v>
      </c>
    </row>
    <row r="164" spans="1:37" x14ac:dyDescent="0.2">
      <c r="A164" t="s">
        <v>287</v>
      </c>
      <c r="B164">
        <v>1104959</v>
      </c>
      <c r="C164" s="1">
        <v>119</v>
      </c>
      <c r="D164" s="1">
        <v>208072</v>
      </c>
      <c r="E164" t="s">
        <v>38</v>
      </c>
      <c r="G164" s="1">
        <v>1493268</v>
      </c>
      <c r="H164" s="1">
        <v>107980</v>
      </c>
      <c r="I164" s="1">
        <v>943488</v>
      </c>
      <c r="J164" s="1">
        <v>21873</v>
      </c>
      <c r="K164" s="1">
        <v>1461817</v>
      </c>
      <c r="L164" s="1">
        <v>95868</v>
      </c>
      <c r="M164" s="1">
        <v>875984</v>
      </c>
      <c r="N164" s="1">
        <v>4743</v>
      </c>
      <c r="O164" s="1">
        <v>1499002</v>
      </c>
      <c r="P164" s="1">
        <v>90725</v>
      </c>
      <c r="Q164" s="1">
        <v>245191</v>
      </c>
      <c r="R164" s="1">
        <v>1936</v>
      </c>
      <c r="S164" s="1">
        <v>1467618</v>
      </c>
      <c r="T164" s="1">
        <v>88789</v>
      </c>
      <c r="U164" s="1">
        <v>214285</v>
      </c>
      <c r="V164" s="1">
        <v>-1225</v>
      </c>
      <c r="W164" s="1">
        <v>1499578</v>
      </c>
      <c r="X164" s="1">
        <v>90014</v>
      </c>
      <c r="Y164" s="1">
        <v>225433</v>
      </c>
      <c r="Z164" s="1">
        <v>-7966</v>
      </c>
      <c r="AA164" s="1">
        <v>1493268</v>
      </c>
      <c r="AB164" s="1">
        <v>107980</v>
      </c>
      <c r="AC164" s="1">
        <v>255173</v>
      </c>
      <c r="AD164" s="1">
        <v>5416</v>
      </c>
      <c r="AE164" s="1">
        <v>1537650</v>
      </c>
      <c r="AF164" s="1">
        <v>102525</v>
      </c>
      <c r="AG164" s="1">
        <v>227645</v>
      </c>
      <c r="AH164" s="1">
        <v>1814</v>
      </c>
      <c r="AI164">
        <v>1.37</v>
      </c>
      <c r="AJ164">
        <v>16.36</v>
      </c>
      <c r="AK164">
        <v>29.42</v>
      </c>
    </row>
    <row r="165" spans="1:37" x14ac:dyDescent="0.2">
      <c r="A165" t="s">
        <v>288</v>
      </c>
      <c r="B165">
        <v>1180306</v>
      </c>
      <c r="C165" s="1">
        <v>359.9</v>
      </c>
      <c r="D165" s="1">
        <v>9699</v>
      </c>
      <c r="E165" t="s">
        <v>38</v>
      </c>
      <c r="G165" s="1">
        <v>3183.83</v>
      </c>
      <c r="H165" s="1">
        <v>-3723.59</v>
      </c>
      <c r="I165" s="1">
        <v>4274.28</v>
      </c>
      <c r="J165" s="1">
        <v>-9748.43</v>
      </c>
      <c r="K165" s="1">
        <v>12357.19</v>
      </c>
      <c r="L165" s="1">
        <v>3645.14</v>
      </c>
      <c r="M165" s="1">
        <v>18878.54</v>
      </c>
      <c r="N165" s="1">
        <v>-9125.5300000000007</v>
      </c>
      <c r="S165" s="1">
        <v>1203.8</v>
      </c>
      <c r="T165" s="1">
        <v>-5277.18</v>
      </c>
      <c r="U165" s="1">
        <v>276.5</v>
      </c>
      <c r="V165" s="1">
        <v>-1834.37</v>
      </c>
      <c r="AA165" s="1">
        <v>3183.83</v>
      </c>
      <c r="AB165" s="1">
        <v>-3723.59</v>
      </c>
      <c r="AC165" s="1">
        <v>2622.19</v>
      </c>
      <c r="AD165" s="1">
        <v>-3092.66</v>
      </c>
      <c r="AI165">
        <v>-36.770000000000003</v>
      </c>
      <c r="AJ165">
        <v>-64.510000000000005</v>
      </c>
      <c r="AK165">
        <v>-93.72</v>
      </c>
    </row>
    <row r="166" spans="1:37" x14ac:dyDescent="0.2">
      <c r="A166" t="s">
        <v>289</v>
      </c>
      <c r="B166">
        <v>486027</v>
      </c>
      <c r="C166" s="1">
        <v>120.8</v>
      </c>
      <c r="D166" s="1">
        <v>439453</v>
      </c>
      <c r="E166" t="s">
        <v>38</v>
      </c>
      <c r="G166" s="1">
        <v>1454893</v>
      </c>
      <c r="H166" s="1">
        <v>458965</v>
      </c>
      <c r="I166" s="1">
        <v>47821</v>
      </c>
      <c r="J166" s="1">
        <v>-9689</v>
      </c>
      <c r="K166" s="1">
        <v>1198025</v>
      </c>
      <c r="L166" s="1">
        <v>403481</v>
      </c>
      <c r="M166" s="1">
        <v>131853</v>
      </c>
      <c r="N166" s="1">
        <v>35061</v>
      </c>
      <c r="S166" s="1">
        <v>1416501</v>
      </c>
      <c r="T166" s="1">
        <v>450383</v>
      </c>
      <c r="U166" s="1">
        <v>7883</v>
      </c>
      <c r="V166" s="1">
        <v>-7635</v>
      </c>
      <c r="W166" s="1">
        <v>1377958</v>
      </c>
      <c r="X166" s="1">
        <v>452451</v>
      </c>
      <c r="Y166" s="1">
        <v>5869</v>
      </c>
      <c r="Z166" s="1">
        <v>-7952</v>
      </c>
      <c r="AA166" s="1">
        <v>1454893</v>
      </c>
      <c r="AB166" s="1">
        <v>458965</v>
      </c>
      <c r="AC166" s="1">
        <v>5506</v>
      </c>
      <c r="AD166" s="1">
        <v>11425</v>
      </c>
      <c r="AE166" s="1">
        <v>1348686</v>
      </c>
      <c r="AF166" s="1">
        <v>445932</v>
      </c>
      <c r="AG166" s="1">
        <v>17086</v>
      </c>
      <c r="AH166" s="1">
        <v>-9622</v>
      </c>
      <c r="AI166">
        <v>-0.85</v>
      </c>
      <c r="AJ166">
        <v>25.62</v>
      </c>
      <c r="AK166">
        <v>8.17</v>
      </c>
    </row>
    <row r="167" spans="1:37" x14ac:dyDescent="0.2">
      <c r="A167" t="s">
        <v>290</v>
      </c>
      <c r="B167">
        <v>1173228</v>
      </c>
      <c r="C167" s="1">
        <v>1205</v>
      </c>
      <c r="D167" s="1">
        <v>1586084</v>
      </c>
      <c r="E167" t="s">
        <v>291</v>
      </c>
      <c r="G167" s="1">
        <v>16924716</v>
      </c>
      <c r="H167" s="1">
        <v>815484</v>
      </c>
      <c r="J167" s="1">
        <v>163089</v>
      </c>
      <c r="K167" s="1">
        <v>17645991</v>
      </c>
      <c r="L167" s="1">
        <v>450808</v>
      </c>
      <c r="N167" s="1">
        <v>38898</v>
      </c>
      <c r="S167" s="1">
        <v>18110960</v>
      </c>
      <c r="T167" s="1">
        <v>909836</v>
      </c>
      <c r="V167" s="1">
        <v>95884</v>
      </c>
      <c r="W167" s="1">
        <v>17312662</v>
      </c>
      <c r="X167" s="1">
        <v>814137</v>
      </c>
      <c r="Z167" s="1">
        <v>35076</v>
      </c>
      <c r="AA167" s="1">
        <v>16924716</v>
      </c>
      <c r="AB167" s="1">
        <v>815484</v>
      </c>
      <c r="AD167" s="1">
        <v>83631</v>
      </c>
      <c r="AE167" s="1">
        <v>19087417</v>
      </c>
      <c r="AF167" s="1">
        <v>586481</v>
      </c>
      <c r="AH167" s="1">
        <v>13320</v>
      </c>
      <c r="AI167">
        <v>17.98</v>
      </c>
      <c r="AJ167">
        <v>146.99</v>
      </c>
      <c r="AK167">
        <v>452.14</v>
      </c>
    </row>
    <row r="168" spans="1:37" x14ac:dyDescent="0.2">
      <c r="A168" t="s">
        <v>292</v>
      </c>
      <c r="B168">
        <v>350017</v>
      </c>
      <c r="C168" s="1">
        <v>5721</v>
      </c>
      <c r="D168" s="1">
        <v>75825</v>
      </c>
      <c r="E168" t="s">
        <v>38</v>
      </c>
      <c r="G168" s="1">
        <v>331825</v>
      </c>
      <c r="H168" s="1">
        <v>112616</v>
      </c>
      <c r="I168" s="1">
        <v>15022</v>
      </c>
      <c r="J168" s="1">
        <v>-7315</v>
      </c>
      <c r="K168" s="1">
        <v>339296</v>
      </c>
      <c r="L168" s="1">
        <v>119931</v>
      </c>
      <c r="M168" s="1">
        <v>15130</v>
      </c>
      <c r="N168" s="1">
        <v>-309</v>
      </c>
      <c r="S168" s="1">
        <v>381679</v>
      </c>
      <c r="T168" s="1">
        <v>108160</v>
      </c>
      <c r="U168" s="1">
        <v>7639</v>
      </c>
      <c r="V168" s="1">
        <v>-5564</v>
      </c>
      <c r="AA168" s="1">
        <v>331825</v>
      </c>
      <c r="AB168" s="1">
        <v>112616</v>
      </c>
      <c r="AC168" s="1">
        <v>7456</v>
      </c>
      <c r="AD168" s="1">
        <v>-6407</v>
      </c>
      <c r="AI168">
        <v>8.8699999999999992</v>
      </c>
      <c r="AJ168">
        <v>24.37</v>
      </c>
      <c r="AK168">
        <v>-11.77</v>
      </c>
    </row>
    <row r="169" spans="1:37" x14ac:dyDescent="0.2">
      <c r="A169" t="s">
        <v>293</v>
      </c>
      <c r="B169">
        <v>371013</v>
      </c>
      <c r="C169" s="1">
        <v>4895</v>
      </c>
      <c r="D169" s="1">
        <v>651471</v>
      </c>
      <c r="E169" t="s">
        <v>294</v>
      </c>
      <c r="G169" s="1">
        <v>700771</v>
      </c>
      <c r="H169" s="1">
        <v>375641</v>
      </c>
      <c r="I169" s="1">
        <v>575795</v>
      </c>
      <c r="J169" s="1">
        <v>44107</v>
      </c>
      <c r="K169" s="1">
        <v>602645</v>
      </c>
      <c r="L169" s="1">
        <v>331594</v>
      </c>
      <c r="M169" s="1">
        <v>543262</v>
      </c>
      <c r="N169" s="1">
        <v>17973</v>
      </c>
      <c r="O169" s="1">
        <v>748794</v>
      </c>
      <c r="P169" s="1">
        <v>419235</v>
      </c>
      <c r="Q169" s="1">
        <v>152849</v>
      </c>
      <c r="R169" s="1">
        <v>11548</v>
      </c>
      <c r="S169" s="1">
        <v>739515</v>
      </c>
      <c r="T169" s="1">
        <v>407687</v>
      </c>
      <c r="U169" s="1">
        <v>160477</v>
      </c>
      <c r="V169" s="1">
        <v>20631</v>
      </c>
      <c r="W169" s="1">
        <v>726632</v>
      </c>
      <c r="X169" s="1">
        <v>387056</v>
      </c>
      <c r="Y169" s="1">
        <v>144843</v>
      </c>
      <c r="Z169" s="1">
        <v>11415</v>
      </c>
      <c r="AA169" s="1">
        <v>700771</v>
      </c>
      <c r="AB169" s="1">
        <v>375641</v>
      </c>
      <c r="AC169" s="1">
        <v>140302</v>
      </c>
      <c r="AD169" s="1">
        <v>16258</v>
      </c>
      <c r="AE169" s="1">
        <v>675635</v>
      </c>
      <c r="AF169" s="1">
        <v>359443</v>
      </c>
      <c r="AG169" s="1">
        <v>152799</v>
      </c>
      <c r="AH169" s="1">
        <v>12955</v>
      </c>
      <c r="AI169">
        <v>31.9</v>
      </c>
      <c r="AJ169">
        <v>95.23</v>
      </c>
      <c r="AK169">
        <v>48.52</v>
      </c>
    </row>
    <row r="170" spans="1:37" x14ac:dyDescent="0.2">
      <c r="A170" t="s">
        <v>295</v>
      </c>
      <c r="B170">
        <v>1082858</v>
      </c>
      <c r="C170" s="1">
        <v>8294</v>
      </c>
      <c r="D170" s="1">
        <v>1151513</v>
      </c>
      <c r="E170" t="s">
        <v>296</v>
      </c>
      <c r="G170" s="1">
        <v>686380</v>
      </c>
      <c r="H170" s="1">
        <v>612940</v>
      </c>
      <c r="I170" s="1">
        <v>575795</v>
      </c>
      <c r="J170" s="1">
        <v>70315</v>
      </c>
      <c r="K170" s="1">
        <v>597033</v>
      </c>
      <c r="L170" s="1">
        <v>552235</v>
      </c>
      <c r="M170" s="1">
        <v>543262</v>
      </c>
      <c r="N170" s="1">
        <v>31656</v>
      </c>
      <c r="O170" s="1">
        <v>703148</v>
      </c>
      <c r="P170" s="1">
        <v>634616</v>
      </c>
      <c r="Q170" s="1">
        <v>152849</v>
      </c>
      <c r="R170" s="1">
        <v>19177</v>
      </c>
      <c r="S170" s="1">
        <v>707635</v>
      </c>
      <c r="T170" s="1">
        <v>634791</v>
      </c>
      <c r="U170" s="1">
        <v>160477</v>
      </c>
      <c r="V170" s="1">
        <v>31874</v>
      </c>
      <c r="W170" s="1">
        <v>712390</v>
      </c>
      <c r="X170" s="1">
        <v>603046</v>
      </c>
      <c r="Y170" s="1">
        <v>144843</v>
      </c>
      <c r="Z170" s="1">
        <v>19505</v>
      </c>
      <c r="AA170" s="1">
        <v>686380</v>
      </c>
      <c r="AB170" s="1">
        <v>612940</v>
      </c>
      <c r="AC170" s="1">
        <v>140302</v>
      </c>
      <c r="AD170" s="1">
        <v>24165</v>
      </c>
      <c r="AE170" s="1">
        <v>663264</v>
      </c>
      <c r="AF170" s="1">
        <v>588794</v>
      </c>
      <c r="AG170" s="1">
        <v>152799</v>
      </c>
      <c r="AH170" s="1">
        <v>20750</v>
      </c>
      <c r="AI170">
        <v>17.88</v>
      </c>
      <c r="AJ170">
        <v>67.63</v>
      </c>
      <c r="AK170">
        <v>85.03</v>
      </c>
    </row>
    <row r="171" spans="1:37" x14ac:dyDescent="0.2">
      <c r="A171" t="s">
        <v>297</v>
      </c>
      <c r="B171">
        <v>278010</v>
      </c>
      <c r="C171" s="1">
        <v>283.60000000000002</v>
      </c>
      <c r="D171" s="1">
        <v>8004</v>
      </c>
      <c r="E171" t="s">
        <v>38</v>
      </c>
      <c r="G171" s="1">
        <v>2057</v>
      </c>
      <c r="H171" s="1">
        <v>-809</v>
      </c>
      <c r="J171" s="1">
        <v>-8506</v>
      </c>
      <c r="K171" s="1">
        <v>15270</v>
      </c>
      <c r="L171" s="1">
        <v>6910</v>
      </c>
      <c r="N171" s="1">
        <v>-10928</v>
      </c>
      <c r="S171" s="1">
        <v>1266</v>
      </c>
      <c r="T171" s="1">
        <v>-1511</v>
      </c>
      <c r="V171" s="1">
        <v>-950</v>
      </c>
      <c r="AA171" s="1">
        <v>2057</v>
      </c>
      <c r="AB171" s="1">
        <v>-809</v>
      </c>
      <c r="AD171" s="1">
        <v>-4172</v>
      </c>
      <c r="AI171">
        <v>-32.450000000000003</v>
      </c>
      <c r="AJ171">
        <v>-75.38</v>
      </c>
      <c r="AK171">
        <v>-92.48</v>
      </c>
    </row>
    <row r="172" spans="1:37" x14ac:dyDescent="0.2">
      <c r="A172" t="s">
        <v>298</v>
      </c>
      <c r="B172">
        <v>1123777</v>
      </c>
      <c r="C172" s="1">
        <v>4847</v>
      </c>
      <c r="D172" s="1">
        <v>687581</v>
      </c>
      <c r="E172" t="s">
        <v>299</v>
      </c>
      <c r="G172" s="1">
        <v>2112641</v>
      </c>
      <c r="H172" s="1">
        <v>404122</v>
      </c>
      <c r="I172" s="1">
        <v>2582279</v>
      </c>
      <c r="J172" s="1">
        <v>43746</v>
      </c>
      <c r="K172" s="1">
        <v>1920346</v>
      </c>
      <c r="L172" s="1">
        <v>398112</v>
      </c>
      <c r="M172" s="1">
        <v>2450735</v>
      </c>
      <c r="N172" s="1">
        <v>46461</v>
      </c>
      <c r="O172" s="1">
        <v>2152847</v>
      </c>
      <c r="P172" s="1">
        <v>399908</v>
      </c>
      <c r="Q172" s="1">
        <v>646297</v>
      </c>
      <c r="R172" s="1">
        <v>11167</v>
      </c>
      <c r="S172" s="1">
        <v>2143513</v>
      </c>
      <c r="T172" s="1">
        <v>395741</v>
      </c>
      <c r="U172" s="1">
        <v>660936</v>
      </c>
      <c r="V172" s="1">
        <v>9513</v>
      </c>
      <c r="W172" s="1">
        <v>2157354</v>
      </c>
      <c r="X172" s="1">
        <v>386228</v>
      </c>
      <c r="Y172" s="1">
        <v>603701</v>
      </c>
      <c r="Z172" s="1">
        <v>2106</v>
      </c>
      <c r="AA172" s="1">
        <v>2112641</v>
      </c>
      <c r="AB172" s="1">
        <v>404122</v>
      </c>
      <c r="AC172" s="1">
        <v>626842</v>
      </c>
      <c r="AD172" s="1">
        <v>6815</v>
      </c>
      <c r="AE172" s="1">
        <v>2192305</v>
      </c>
      <c r="AF172" s="1">
        <v>398157</v>
      </c>
      <c r="AG172" s="1">
        <v>693320</v>
      </c>
      <c r="AH172" s="1">
        <v>15917</v>
      </c>
      <c r="AI172">
        <v>-2.78</v>
      </c>
      <c r="AJ172">
        <v>-10.54</v>
      </c>
      <c r="AK172">
        <v>22.11</v>
      </c>
    </row>
    <row r="173" spans="1:37" x14ac:dyDescent="0.2">
      <c r="A173" t="s">
        <v>300</v>
      </c>
      <c r="B173">
        <v>1109966</v>
      </c>
      <c r="C173" s="1">
        <v>2359</v>
      </c>
      <c r="D173" s="1">
        <v>1110457</v>
      </c>
      <c r="E173" t="s">
        <v>38</v>
      </c>
      <c r="G173" s="1">
        <v>3137314</v>
      </c>
      <c r="H173" s="1">
        <v>1148553</v>
      </c>
      <c r="I173" s="1">
        <v>284447</v>
      </c>
      <c r="J173" s="1">
        <v>93696</v>
      </c>
      <c r="K173" s="1">
        <v>2722895</v>
      </c>
      <c r="L173" s="1">
        <v>1093357</v>
      </c>
      <c r="M173" s="1">
        <v>201143</v>
      </c>
      <c r="N173" s="1">
        <v>78064</v>
      </c>
      <c r="S173" s="1">
        <v>3186767</v>
      </c>
      <c r="T173" s="1">
        <v>1106541</v>
      </c>
      <c r="U173" s="1">
        <v>74014</v>
      </c>
      <c r="V173" s="1">
        <v>-46329</v>
      </c>
      <c r="W173" s="1">
        <v>3219903</v>
      </c>
      <c r="X173" s="1">
        <v>1152870</v>
      </c>
      <c r="Y173" s="1">
        <v>88232</v>
      </c>
      <c r="Z173" s="1">
        <v>14317</v>
      </c>
      <c r="AA173" s="1">
        <v>3137314</v>
      </c>
      <c r="AB173" s="1">
        <v>1148553</v>
      </c>
      <c r="AC173" s="1">
        <v>83057</v>
      </c>
      <c r="AD173" s="1">
        <v>50975</v>
      </c>
      <c r="AE173" s="1">
        <v>3065566</v>
      </c>
      <c r="AF173" s="1">
        <v>1097578</v>
      </c>
      <c r="AG173" s="1">
        <v>65149</v>
      </c>
      <c r="AH173" s="1">
        <v>8958</v>
      </c>
      <c r="AI173">
        <v>-1.7</v>
      </c>
      <c r="AJ173">
        <v>-2.61</v>
      </c>
      <c r="AK173">
        <v>5.19</v>
      </c>
    </row>
    <row r="174" spans="1:37" x14ac:dyDescent="0.2">
      <c r="A174" t="s">
        <v>301</v>
      </c>
      <c r="B174">
        <v>1174184</v>
      </c>
      <c r="C174" s="1">
        <v>180.7</v>
      </c>
      <c r="D174" s="1">
        <v>292553</v>
      </c>
      <c r="E174" t="s">
        <v>38</v>
      </c>
      <c r="G174" s="1">
        <v>46816.54</v>
      </c>
      <c r="H174" s="1">
        <v>24500.55</v>
      </c>
      <c r="I174" s="1">
        <v>3796.53</v>
      </c>
      <c r="J174" s="1">
        <v>-40080.53</v>
      </c>
      <c r="K174" s="1">
        <v>48881.08</v>
      </c>
      <c r="L174" s="1">
        <v>33332.129999999997</v>
      </c>
      <c r="M174" s="1">
        <v>2771.03</v>
      </c>
      <c r="N174" s="1">
        <v>-42635.39</v>
      </c>
      <c r="S174" s="1">
        <v>22089.97</v>
      </c>
      <c r="T174" s="1">
        <v>-492.31</v>
      </c>
      <c r="U174" s="1">
        <v>832.88</v>
      </c>
      <c r="V174" s="1">
        <v>-23755.74</v>
      </c>
      <c r="AA174" s="1">
        <v>46816.54</v>
      </c>
      <c r="AB174" s="1">
        <v>24500.55</v>
      </c>
      <c r="AC174" s="1">
        <v>1816.21</v>
      </c>
      <c r="AD174" s="1">
        <v>-20981.19</v>
      </c>
      <c r="AI174">
        <v>-68.040000000000006</v>
      </c>
      <c r="AJ174">
        <v>-83.15</v>
      </c>
      <c r="AK174">
        <v>-87.08</v>
      </c>
    </row>
    <row r="175" spans="1:37" x14ac:dyDescent="0.2">
      <c r="A175" t="s">
        <v>302</v>
      </c>
      <c r="B175">
        <v>130013</v>
      </c>
      <c r="C175" s="1">
        <v>4527</v>
      </c>
      <c r="D175" s="1">
        <v>629326</v>
      </c>
      <c r="E175" t="s">
        <v>303</v>
      </c>
      <c r="G175" s="1">
        <v>484229</v>
      </c>
      <c r="H175" s="1">
        <v>212623</v>
      </c>
      <c r="I175" s="1">
        <v>481595</v>
      </c>
      <c r="J175" s="1">
        <v>49839</v>
      </c>
      <c r="K175" s="1">
        <v>442465</v>
      </c>
      <c r="L175" s="1">
        <v>188399</v>
      </c>
      <c r="M175" s="1">
        <v>398568</v>
      </c>
      <c r="N175" s="1">
        <v>67648</v>
      </c>
      <c r="O175" s="1">
        <v>513304</v>
      </c>
      <c r="P175" s="1">
        <v>226371</v>
      </c>
      <c r="Q175" s="1">
        <v>136738</v>
      </c>
      <c r="R175" s="1">
        <v>11608</v>
      </c>
      <c r="S175" s="1">
        <v>489387</v>
      </c>
      <c r="T175" s="1">
        <v>224716</v>
      </c>
      <c r="U175" s="1">
        <v>139556</v>
      </c>
      <c r="V175" s="1">
        <v>12478</v>
      </c>
      <c r="W175" s="1">
        <v>474176</v>
      </c>
      <c r="X175" s="1">
        <v>215982</v>
      </c>
      <c r="Y175" s="1">
        <v>126411</v>
      </c>
      <c r="Z175" s="1">
        <v>14247</v>
      </c>
      <c r="AA175" s="1">
        <v>484229</v>
      </c>
      <c r="AB175" s="1">
        <v>212623</v>
      </c>
      <c r="AC175" s="1">
        <v>124815</v>
      </c>
      <c r="AD175" s="1">
        <v>10955</v>
      </c>
      <c r="AE175" s="1">
        <v>466699</v>
      </c>
      <c r="AF175" s="1">
        <v>205932</v>
      </c>
      <c r="AG175" s="1">
        <v>142000</v>
      </c>
      <c r="AH175" s="1">
        <v>16565</v>
      </c>
      <c r="AI175">
        <v>1.82</v>
      </c>
      <c r="AJ175">
        <v>17.41</v>
      </c>
      <c r="AK175">
        <v>179.28</v>
      </c>
    </row>
    <row r="176" spans="1:37" x14ac:dyDescent="0.2">
      <c r="A176" t="s">
        <v>304</v>
      </c>
      <c r="B176">
        <v>1194695</v>
      </c>
      <c r="C176" s="1">
        <v>1885</v>
      </c>
      <c r="D176" s="1">
        <v>1225576</v>
      </c>
      <c r="E176" t="s">
        <v>305</v>
      </c>
      <c r="G176" s="1">
        <v>1492863</v>
      </c>
      <c r="H176" s="1">
        <v>479712</v>
      </c>
      <c r="I176" s="1">
        <v>196743</v>
      </c>
      <c r="J176" s="1">
        <v>82409</v>
      </c>
      <c r="K176" s="1">
        <v>1563687</v>
      </c>
      <c r="L176" s="1">
        <v>413989</v>
      </c>
      <c r="M176" s="1">
        <v>243107</v>
      </c>
      <c r="N176" s="1">
        <v>297617</v>
      </c>
      <c r="S176" s="1">
        <v>1713955</v>
      </c>
      <c r="T176" s="1">
        <v>514241</v>
      </c>
      <c r="U176" s="1">
        <v>44301</v>
      </c>
      <c r="V176" s="1">
        <v>-1611</v>
      </c>
      <c r="W176" s="1">
        <v>1645563</v>
      </c>
      <c r="X176" s="1">
        <v>531522</v>
      </c>
      <c r="Y176" s="1">
        <v>61704</v>
      </c>
      <c r="Z176" s="1">
        <v>11182</v>
      </c>
      <c r="AA176" s="1">
        <v>1492863</v>
      </c>
      <c r="AB176" s="1">
        <v>479712</v>
      </c>
      <c r="AC176" s="1">
        <v>103342</v>
      </c>
      <c r="AD176" s="1">
        <v>23910</v>
      </c>
      <c r="AI176">
        <v>12.16</v>
      </c>
      <c r="AJ176">
        <v>42.75</v>
      </c>
      <c r="AK176">
        <v>0</v>
      </c>
    </row>
    <row r="177" spans="1:37" x14ac:dyDescent="0.2">
      <c r="A177" t="s">
        <v>306</v>
      </c>
      <c r="B177">
        <v>1143635</v>
      </c>
      <c r="C177" s="1">
        <v>928.1</v>
      </c>
      <c r="D177" s="1">
        <v>523562</v>
      </c>
      <c r="E177" t="s">
        <v>38</v>
      </c>
      <c r="G177" s="1">
        <v>688230.39</v>
      </c>
      <c r="H177" s="1">
        <v>181046.52</v>
      </c>
      <c r="I177" s="1">
        <v>19069.32</v>
      </c>
      <c r="J177" s="1">
        <v>-15102.08</v>
      </c>
      <c r="K177" s="1">
        <v>663446.43000000005</v>
      </c>
      <c r="L177" s="1">
        <v>164676.18</v>
      </c>
      <c r="M177" s="1">
        <v>23251.23</v>
      </c>
      <c r="N177" s="1">
        <v>-27768.3</v>
      </c>
      <c r="S177" s="1">
        <v>819382.95</v>
      </c>
      <c r="T177" s="1">
        <v>181306.37</v>
      </c>
      <c r="U177" s="1">
        <v>5232.7299999999996</v>
      </c>
      <c r="V177" s="1">
        <v>-20025.18</v>
      </c>
      <c r="W177" s="1">
        <v>846235.95</v>
      </c>
      <c r="X177" s="1">
        <v>204726.78</v>
      </c>
      <c r="Y177" s="1">
        <v>5316.95</v>
      </c>
      <c r="Z177" s="1">
        <v>7376.16</v>
      </c>
      <c r="AA177" s="1">
        <v>688230.39</v>
      </c>
      <c r="AB177" s="1">
        <v>181046.52</v>
      </c>
      <c r="AC177" s="1">
        <v>3959.65</v>
      </c>
      <c r="AD177" s="1">
        <v>2722.02</v>
      </c>
      <c r="AE177" s="1">
        <v>720798.51</v>
      </c>
      <c r="AF177" s="1">
        <v>193302.53</v>
      </c>
      <c r="AG177" s="1">
        <v>5996.07</v>
      </c>
      <c r="AH177" s="1">
        <v>-2960.66</v>
      </c>
      <c r="AI177">
        <v>-14.35</v>
      </c>
      <c r="AJ177">
        <v>46.7</v>
      </c>
      <c r="AK177">
        <v>78.459999999999994</v>
      </c>
    </row>
    <row r="178" spans="1:37" x14ac:dyDescent="0.2">
      <c r="A178" t="s">
        <v>307</v>
      </c>
      <c r="B178">
        <v>823013</v>
      </c>
      <c r="C178" s="1">
        <v>2016</v>
      </c>
      <c r="D178" s="1">
        <v>1243754</v>
      </c>
      <c r="E178" t="s">
        <v>197</v>
      </c>
      <c r="G178" s="1">
        <v>4203494</v>
      </c>
      <c r="H178" s="1">
        <v>1248073</v>
      </c>
      <c r="I178" s="1">
        <v>417874</v>
      </c>
      <c r="J178" s="1">
        <v>83648</v>
      </c>
      <c r="K178" s="1">
        <v>3808735</v>
      </c>
      <c r="L178" s="1">
        <v>1113536</v>
      </c>
      <c r="M178" s="1">
        <v>576932</v>
      </c>
      <c r="N178" s="1">
        <v>196947</v>
      </c>
      <c r="S178" s="1">
        <v>5317467</v>
      </c>
      <c r="T178" s="1">
        <v>1335817</v>
      </c>
      <c r="U178" s="1">
        <v>90298</v>
      </c>
      <c r="V178" s="1">
        <v>9455</v>
      </c>
      <c r="W178" s="1">
        <v>4605084</v>
      </c>
      <c r="X178" s="1">
        <v>1326362</v>
      </c>
      <c r="Y178" s="1">
        <v>133599</v>
      </c>
      <c r="Z178" s="1">
        <v>54735</v>
      </c>
      <c r="AA178" s="1">
        <v>4203494</v>
      </c>
      <c r="AB178" s="1">
        <v>1248073</v>
      </c>
      <c r="AC178" s="1">
        <v>104428</v>
      </c>
      <c r="AD178" s="1">
        <v>65589</v>
      </c>
      <c r="AE178" s="1">
        <v>3879613</v>
      </c>
      <c r="AF178" s="1">
        <v>1182642</v>
      </c>
      <c r="AG178" s="1">
        <v>114977</v>
      </c>
      <c r="AH178" s="1">
        <v>10985</v>
      </c>
      <c r="AI178">
        <v>-4.82</v>
      </c>
      <c r="AJ178">
        <v>2.9</v>
      </c>
      <c r="AK178">
        <v>10.48</v>
      </c>
    </row>
    <row r="179" spans="1:37" x14ac:dyDescent="0.2">
      <c r="A179" t="s">
        <v>308</v>
      </c>
      <c r="B179">
        <v>351015</v>
      </c>
      <c r="C179" s="1">
        <v>4720</v>
      </c>
      <c r="D179" s="1">
        <v>580112</v>
      </c>
      <c r="E179" t="s">
        <v>309</v>
      </c>
      <c r="G179" s="1">
        <v>1274051</v>
      </c>
      <c r="H179" s="1">
        <v>743394</v>
      </c>
      <c r="I179" s="1">
        <v>2059650</v>
      </c>
      <c r="J179" s="1">
        <v>69072</v>
      </c>
      <c r="K179" s="1">
        <v>1234740</v>
      </c>
      <c r="L179" s="1">
        <v>675747</v>
      </c>
      <c r="M179" s="1">
        <v>1754200</v>
      </c>
      <c r="N179" s="1">
        <v>26986</v>
      </c>
      <c r="O179" s="1">
        <v>1431717</v>
      </c>
      <c r="P179" s="1">
        <v>778603</v>
      </c>
      <c r="Q179" s="1">
        <v>1387380</v>
      </c>
      <c r="R179" s="1">
        <v>35032</v>
      </c>
      <c r="S179" s="1">
        <v>1354310</v>
      </c>
      <c r="T179" s="1">
        <v>778603</v>
      </c>
      <c r="U179" s="1">
        <v>398636</v>
      </c>
      <c r="V179" s="1">
        <v>12646</v>
      </c>
      <c r="W179" s="1">
        <v>1284683</v>
      </c>
      <c r="X179" s="1">
        <v>767142</v>
      </c>
      <c r="Y179" s="1">
        <v>508485</v>
      </c>
      <c r="Z179" s="1">
        <v>21611</v>
      </c>
      <c r="AA179" s="1">
        <v>1274051</v>
      </c>
      <c r="AB179" s="1">
        <v>743394</v>
      </c>
      <c r="AC179" s="1">
        <v>518298</v>
      </c>
      <c r="AD179" s="1">
        <v>6752</v>
      </c>
      <c r="AE179" s="1">
        <v>1224419</v>
      </c>
      <c r="AF179" s="1">
        <v>739872</v>
      </c>
      <c r="AG179" s="1">
        <v>643932</v>
      </c>
      <c r="AH179" s="1">
        <v>38792</v>
      </c>
      <c r="AI179">
        <v>-15.34</v>
      </c>
      <c r="AJ179">
        <v>15.3</v>
      </c>
      <c r="AK179">
        <v>-3.51</v>
      </c>
    </row>
    <row r="180" spans="1:37" x14ac:dyDescent="0.2">
      <c r="A180" t="s">
        <v>310</v>
      </c>
      <c r="B180">
        <v>150011</v>
      </c>
      <c r="C180" s="1">
        <v>253000</v>
      </c>
      <c r="D180" s="1">
        <v>1249403</v>
      </c>
      <c r="E180" t="s">
        <v>311</v>
      </c>
      <c r="G180" s="1">
        <v>1347852</v>
      </c>
      <c r="H180" s="1">
        <v>1054251</v>
      </c>
      <c r="I180" s="1">
        <v>168787</v>
      </c>
      <c r="J180" s="1">
        <v>83780</v>
      </c>
      <c r="K180" s="1">
        <v>1282177</v>
      </c>
      <c r="L180" s="1">
        <v>984407</v>
      </c>
      <c r="M180" s="1">
        <v>152729</v>
      </c>
      <c r="N180" s="1">
        <v>67989</v>
      </c>
      <c r="S180" s="1">
        <v>1396416</v>
      </c>
      <c r="T180" s="1">
        <v>1089490</v>
      </c>
      <c r="U180" s="1">
        <v>44394</v>
      </c>
      <c r="V180" s="1">
        <v>21860</v>
      </c>
      <c r="W180" s="1">
        <v>1385301</v>
      </c>
      <c r="X180" s="1">
        <v>1075044</v>
      </c>
      <c r="Y180" s="1">
        <v>44811</v>
      </c>
      <c r="Z180" s="1">
        <v>20793</v>
      </c>
      <c r="AA180" s="1">
        <v>1347852</v>
      </c>
      <c r="AB180" s="1">
        <v>1054251</v>
      </c>
      <c r="AC180" s="1">
        <v>33109</v>
      </c>
      <c r="AD180" s="1">
        <v>12561</v>
      </c>
      <c r="AE180" s="1">
        <v>1332030</v>
      </c>
      <c r="AF180" s="1">
        <v>1047372</v>
      </c>
      <c r="AG180" s="1">
        <v>50121</v>
      </c>
      <c r="AH180" s="1">
        <v>26762</v>
      </c>
      <c r="AI180">
        <v>-9.64</v>
      </c>
      <c r="AJ180">
        <v>12.63</v>
      </c>
      <c r="AK180">
        <v>15.5</v>
      </c>
    </row>
    <row r="181" spans="1:37" x14ac:dyDescent="0.2">
      <c r="A181" t="s">
        <v>312</v>
      </c>
      <c r="B181">
        <v>1092345</v>
      </c>
      <c r="C181" s="1">
        <v>334.8</v>
      </c>
      <c r="D181" s="1">
        <v>236673</v>
      </c>
      <c r="E181" t="s">
        <v>313</v>
      </c>
      <c r="G181" s="1">
        <v>1583461.79</v>
      </c>
      <c r="H181" s="1">
        <v>105270.66</v>
      </c>
      <c r="I181" s="1">
        <v>364762.01</v>
      </c>
      <c r="J181" s="1">
        <v>59125.17</v>
      </c>
      <c r="K181" s="1">
        <v>1491941.1</v>
      </c>
      <c r="L181" s="1">
        <v>38707.339999999997</v>
      </c>
      <c r="M181" s="1">
        <v>359664.21</v>
      </c>
      <c r="N181" s="1">
        <v>-91755.85</v>
      </c>
      <c r="O181" s="1">
        <v>1974134.92</v>
      </c>
      <c r="P181" s="1">
        <v>99533.74</v>
      </c>
      <c r="Q181" s="1">
        <v>72004.679999999993</v>
      </c>
      <c r="R181" s="1">
        <v>3375.43</v>
      </c>
      <c r="S181" s="1">
        <v>1525637.79</v>
      </c>
      <c r="T181" s="1">
        <v>98428.68</v>
      </c>
      <c r="U181" s="1">
        <v>73998.539999999994</v>
      </c>
      <c r="V181" s="1">
        <v>2363.77</v>
      </c>
      <c r="W181" s="1">
        <v>1639128.61</v>
      </c>
      <c r="X181" s="1">
        <v>106029.92</v>
      </c>
      <c r="Y181" s="1">
        <v>84759.24</v>
      </c>
      <c r="Z181" s="1">
        <v>-1282.71</v>
      </c>
      <c r="AA181" s="1">
        <v>1583461.79</v>
      </c>
      <c r="AB181" s="1">
        <v>105270.66</v>
      </c>
      <c r="AC181" s="1">
        <v>91495.94</v>
      </c>
      <c r="AD181" s="1">
        <v>62939.93</v>
      </c>
      <c r="AE181" s="1">
        <v>1520784.67</v>
      </c>
      <c r="AF181" s="1">
        <v>35697.620000000003</v>
      </c>
      <c r="AG181" s="1">
        <v>92538.53</v>
      </c>
      <c r="AH181" s="1">
        <v>-3105.27</v>
      </c>
      <c r="AI181">
        <v>219.43</v>
      </c>
      <c r="AJ181">
        <v>1427.36</v>
      </c>
      <c r="AK181">
        <v>50.01</v>
      </c>
    </row>
    <row r="182" spans="1:37" x14ac:dyDescent="0.2">
      <c r="A182" t="s">
        <v>314</v>
      </c>
      <c r="B182">
        <v>1104785</v>
      </c>
      <c r="C182" s="1">
        <v>626</v>
      </c>
      <c r="D182" s="1">
        <v>88809</v>
      </c>
      <c r="E182" t="s">
        <v>315</v>
      </c>
      <c r="G182" s="1">
        <v>171620</v>
      </c>
      <c r="H182" s="1">
        <v>91893</v>
      </c>
      <c r="I182" s="1">
        <v>243681</v>
      </c>
      <c r="J182" s="1">
        <v>4427</v>
      </c>
      <c r="K182" s="1">
        <v>176057</v>
      </c>
      <c r="L182" s="1">
        <v>87422</v>
      </c>
      <c r="M182" s="1">
        <v>272113</v>
      </c>
      <c r="N182" s="1">
        <v>3067</v>
      </c>
      <c r="S182" s="1">
        <v>174529</v>
      </c>
      <c r="T182" s="1">
        <v>102533</v>
      </c>
      <c r="U182" s="1">
        <v>124341</v>
      </c>
      <c r="V182" s="1">
        <v>10640</v>
      </c>
      <c r="AA182" s="1">
        <v>171620</v>
      </c>
      <c r="AB182" s="1">
        <v>91893</v>
      </c>
      <c r="AC182" s="1">
        <v>118521</v>
      </c>
      <c r="AD182" s="1">
        <v>2219</v>
      </c>
      <c r="AI182">
        <v>7.08</v>
      </c>
      <c r="AJ182">
        <v>63.66</v>
      </c>
      <c r="AK182">
        <v>4.13</v>
      </c>
    </row>
    <row r="183" spans="1:37" x14ac:dyDescent="0.2">
      <c r="A183" t="s">
        <v>316</v>
      </c>
      <c r="B183">
        <v>384016</v>
      </c>
      <c r="C183" s="1">
        <v>1621</v>
      </c>
      <c r="D183" s="1">
        <v>593997</v>
      </c>
      <c r="E183" t="s">
        <v>317</v>
      </c>
      <c r="G183" s="1">
        <v>1554162</v>
      </c>
      <c r="H183" s="1">
        <v>541930</v>
      </c>
      <c r="I183" s="1">
        <v>887069</v>
      </c>
      <c r="J183" s="1">
        <v>10192</v>
      </c>
      <c r="K183" s="1">
        <v>1533428</v>
      </c>
      <c r="L183" s="1">
        <v>535438</v>
      </c>
      <c r="M183" s="1">
        <v>967354</v>
      </c>
      <c r="N183" s="1">
        <v>41305</v>
      </c>
      <c r="O183" s="1">
        <v>1538436</v>
      </c>
      <c r="P183" s="1">
        <v>559486</v>
      </c>
      <c r="Q183" s="1">
        <v>260959</v>
      </c>
      <c r="R183" s="1">
        <v>20139</v>
      </c>
      <c r="S183" s="1">
        <v>1553990</v>
      </c>
      <c r="T183" s="1">
        <v>541825</v>
      </c>
      <c r="U183" s="1">
        <v>220818</v>
      </c>
      <c r="V183" s="1">
        <v>189</v>
      </c>
      <c r="W183" s="1">
        <v>1560017</v>
      </c>
      <c r="X183" s="1">
        <v>556619</v>
      </c>
      <c r="Y183" s="1">
        <v>240114</v>
      </c>
      <c r="Z183" s="1">
        <v>8825</v>
      </c>
      <c r="AA183" s="1">
        <v>1554162</v>
      </c>
      <c r="AB183" s="1">
        <v>541930</v>
      </c>
      <c r="AC183" s="1">
        <v>232672</v>
      </c>
      <c r="AD183" s="1">
        <v>3828</v>
      </c>
      <c r="AE183" s="1">
        <v>1534449</v>
      </c>
      <c r="AF183" s="1">
        <v>545238</v>
      </c>
      <c r="AG183" s="1">
        <v>248371</v>
      </c>
      <c r="AH183" s="1">
        <v>4756</v>
      </c>
      <c r="AI183">
        <v>-8.27</v>
      </c>
      <c r="AJ183">
        <v>-4.59</v>
      </c>
      <c r="AK183">
        <v>-47.34</v>
      </c>
    </row>
    <row r="184" spans="1:37" x14ac:dyDescent="0.2">
      <c r="A184" t="s">
        <v>318</v>
      </c>
      <c r="B184">
        <v>462010</v>
      </c>
      <c r="C184" s="1">
        <v>350</v>
      </c>
      <c r="D184" s="1">
        <v>60714</v>
      </c>
      <c r="E184" t="s">
        <v>38</v>
      </c>
      <c r="G184" s="1">
        <v>147052</v>
      </c>
      <c r="H184" s="1">
        <v>33324</v>
      </c>
      <c r="I184" s="1">
        <v>96053</v>
      </c>
      <c r="J184" s="1">
        <v>-1172</v>
      </c>
      <c r="K184" s="1">
        <v>138545</v>
      </c>
      <c r="L184" s="1">
        <v>-7793</v>
      </c>
      <c r="M184" s="1">
        <v>91006</v>
      </c>
      <c r="N184" s="1">
        <v>-4316</v>
      </c>
      <c r="S184" s="1">
        <v>151610</v>
      </c>
      <c r="T184" s="1">
        <v>46775</v>
      </c>
      <c r="U184" s="1">
        <v>63567</v>
      </c>
      <c r="V184" s="1">
        <v>974</v>
      </c>
      <c r="AA184" s="1">
        <v>147052</v>
      </c>
      <c r="AB184" s="1">
        <v>33324</v>
      </c>
      <c r="AC184" s="1">
        <v>45651</v>
      </c>
      <c r="AD184" s="1">
        <v>-7536</v>
      </c>
      <c r="AI184">
        <v>-12.83</v>
      </c>
      <c r="AJ184">
        <v>-22.79</v>
      </c>
      <c r="AK184">
        <v>-3.92</v>
      </c>
    </row>
    <row r="185" spans="1:37" x14ac:dyDescent="0.2">
      <c r="A185" t="s">
        <v>319</v>
      </c>
      <c r="B185">
        <v>1180686</v>
      </c>
      <c r="C185" s="1">
        <v>424.1</v>
      </c>
      <c r="D185" s="1">
        <v>57452</v>
      </c>
      <c r="E185" t="s">
        <v>38</v>
      </c>
      <c r="G185" s="1">
        <v>25876</v>
      </c>
      <c r="H185" s="1">
        <v>-8466</v>
      </c>
      <c r="I185" s="1">
        <v>17117</v>
      </c>
      <c r="J185" s="1">
        <v>-8670</v>
      </c>
      <c r="K185" s="1">
        <v>26031</v>
      </c>
      <c r="L185" s="1">
        <v>-3315</v>
      </c>
      <c r="M185" s="1">
        <v>20135</v>
      </c>
      <c r="N185" s="1">
        <v>-7726</v>
      </c>
      <c r="S185" s="1">
        <v>31446</v>
      </c>
      <c r="T185" s="1">
        <v>-5119</v>
      </c>
      <c r="U185" s="1">
        <v>10875</v>
      </c>
      <c r="V185" s="1">
        <v>-1284</v>
      </c>
      <c r="AA185" s="1">
        <v>25876</v>
      </c>
      <c r="AB185" s="1">
        <v>-8466</v>
      </c>
      <c r="AC185" s="1">
        <v>9233</v>
      </c>
      <c r="AD185" s="1">
        <v>-5042</v>
      </c>
      <c r="AI185">
        <v>-21.99</v>
      </c>
      <c r="AJ185">
        <v>-4.1900000000000004</v>
      </c>
      <c r="AK185">
        <v>27.86</v>
      </c>
    </row>
    <row r="186" spans="1:37" x14ac:dyDescent="0.2">
      <c r="A186" t="s">
        <v>320</v>
      </c>
      <c r="B186">
        <v>1179142</v>
      </c>
      <c r="C186" s="1">
        <v>1198</v>
      </c>
      <c r="D186" s="1">
        <v>1476329</v>
      </c>
      <c r="E186" t="s">
        <v>38</v>
      </c>
      <c r="G186" s="1">
        <v>394605.41</v>
      </c>
      <c r="H186" s="1">
        <v>228221.97</v>
      </c>
      <c r="I186" s="1">
        <v>216146.75</v>
      </c>
      <c r="J186" s="1">
        <v>-23654.44</v>
      </c>
      <c r="K186" s="1">
        <v>380265.57</v>
      </c>
      <c r="L186" s="1">
        <v>245141.68</v>
      </c>
      <c r="M186" s="1">
        <v>165380.32</v>
      </c>
      <c r="N186" s="1">
        <v>11653.55</v>
      </c>
      <c r="O186" s="1">
        <v>626642.38</v>
      </c>
      <c r="P186" s="1">
        <v>366222.15</v>
      </c>
      <c r="Q186" s="1">
        <v>97447.66</v>
      </c>
      <c r="R186" s="1">
        <v>6678.12</v>
      </c>
      <c r="S186" s="1">
        <v>550256.43999999994</v>
      </c>
      <c r="T186" s="1">
        <v>263390.28999999998</v>
      </c>
      <c r="U186" s="1">
        <v>76116.160000000003</v>
      </c>
      <c r="V186" s="1">
        <v>10267.74</v>
      </c>
      <c r="W186" s="1">
        <v>460139.67</v>
      </c>
      <c r="X186" s="1">
        <v>234122.46</v>
      </c>
      <c r="Y186" s="1">
        <v>64221.01</v>
      </c>
      <c r="Z186" s="1">
        <v>4491.34</v>
      </c>
      <c r="AA186" s="1">
        <v>394605.41</v>
      </c>
      <c r="AB186" s="1">
        <v>228221.97</v>
      </c>
      <c r="AC186" s="1">
        <v>53359.26</v>
      </c>
      <c r="AD186" s="1">
        <v>-34675.68</v>
      </c>
      <c r="AE186" s="1">
        <v>440647.83</v>
      </c>
      <c r="AF186" s="1">
        <v>261759.05</v>
      </c>
      <c r="AG186" s="1">
        <v>55219.64</v>
      </c>
      <c r="AH186" s="1">
        <v>1806.77</v>
      </c>
      <c r="AI186">
        <v>23.68</v>
      </c>
      <c r="AJ186">
        <v>71.349999999999994</v>
      </c>
      <c r="AK186">
        <v>81.209999999999994</v>
      </c>
    </row>
    <row r="187" spans="1:37" x14ac:dyDescent="0.2">
      <c r="A187" t="s">
        <v>321</v>
      </c>
      <c r="B187">
        <v>1083377</v>
      </c>
      <c r="C187" s="1">
        <v>1326</v>
      </c>
      <c r="D187" s="1">
        <v>280948</v>
      </c>
      <c r="E187" t="s">
        <v>322</v>
      </c>
      <c r="G187" s="1">
        <v>338622</v>
      </c>
      <c r="H187" s="1">
        <v>76893</v>
      </c>
      <c r="I187" s="1">
        <v>268540</v>
      </c>
      <c r="J187" s="1">
        <v>15532</v>
      </c>
      <c r="K187" s="1">
        <v>288062</v>
      </c>
      <c r="L187" s="1">
        <v>67262</v>
      </c>
      <c r="M187" s="1">
        <v>236726</v>
      </c>
      <c r="N187" s="1">
        <v>12106</v>
      </c>
      <c r="O187" s="1">
        <v>309528</v>
      </c>
      <c r="P187" s="1">
        <v>79716</v>
      </c>
      <c r="Q187" s="1">
        <v>71204</v>
      </c>
      <c r="R187" s="1">
        <v>3896</v>
      </c>
      <c r="S187" s="1">
        <v>317641</v>
      </c>
      <c r="T187" s="1">
        <v>75820</v>
      </c>
      <c r="U187" s="1">
        <v>73105</v>
      </c>
      <c r="V187" s="1">
        <v>3376</v>
      </c>
      <c r="W187" s="1">
        <v>329319</v>
      </c>
      <c r="X187" s="1">
        <v>72444</v>
      </c>
      <c r="Y187" s="1">
        <v>68986</v>
      </c>
      <c r="Z187" s="1">
        <v>3051</v>
      </c>
      <c r="AA187" s="1">
        <v>338622</v>
      </c>
      <c r="AB187" s="1">
        <v>76893</v>
      </c>
      <c r="AC187" s="1">
        <v>75589</v>
      </c>
      <c r="AD187" s="1">
        <v>6765</v>
      </c>
      <c r="AE187" s="1">
        <v>288333</v>
      </c>
      <c r="AF187" s="1">
        <v>70029</v>
      </c>
      <c r="AG187" s="1">
        <v>67892</v>
      </c>
      <c r="AH187" s="1">
        <v>3819</v>
      </c>
      <c r="AI187">
        <v>4.49</v>
      </c>
      <c r="AJ187">
        <v>45.82</v>
      </c>
      <c r="AK187">
        <v>19.98</v>
      </c>
    </row>
    <row r="188" spans="1:37" x14ac:dyDescent="0.2">
      <c r="A188" t="s">
        <v>323</v>
      </c>
      <c r="B188">
        <v>1181742</v>
      </c>
      <c r="C188" s="1">
        <v>1715</v>
      </c>
      <c r="D188" s="1">
        <v>346523</v>
      </c>
      <c r="E188" t="s">
        <v>38</v>
      </c>
      <c r="G188" s="1">
        <v>4739</v>
      </c>
      <c r="H188" s="1">
        <v>-27549</v>
      </c>
      <c r="J188" s="1">
        <v>-21118</v>
      </c>
      <c r="K188" s="1">
        <v>4286</v>
      </c>
      <c r="L188" s="1">
        <v>-20316</v>
      </c>
      <c r="N188" s="1">
        <v>-18858</v>
      </c>
      <c r="S188" s="1">
        <v>15285</v>
      </c>
      <c r="T188" s="1">
        <v>-13588</v>
      </c>
      <c r="V188" s="1">
        <v>-25628</v>
      </c>
      <c r="AA188" s="1">
        <v>4739</v>
      </c>
      <c r="AB188" s="1">
        <v>-27549</v>
      </c>
      <c r="AD188" s="1">
        <v>-15000</v>
      </c>
      <c r="AI188">
        <v>-0.36</v>
      </c>
      <c r="AJ188">
        <v>122.72</v>
      </c>
      <c r="AK188">
        <v>69.59</v>
      </c>
    </row>
    <row r="189" spans="1:37" x14ac:dyDescent="0.2">
      <c r="A189" t="s">
        <v>324</v>
      </c>
      <c r="B189">
        <v>1090141</v>
      </c>
      <c r="C189" s="1">
        <v>269.3</v>
      </c>
      <c r="D189" s="1">
        <v>211402</v>
      </c>
      <c r="E189" t="s">
        <v>325</v>
      </c>
      <c r="G189" s="1">
        <v>230012</v>
      </c>
      <c r="H189" s="1">
        <v>93684</v>
      </c>
      <c r="I189" s="1">
        <v>162765</v>
      </c>
      <c r="J189" s="1">
        <v>17258</v>
      </c>
      <c r="K189" s="1">
        <v>281579</v>
      </c>
      <c r="L189" s="1">
        <v>94103</v>
      </c>
      <c r="M189" s="1">
        <v>181772</v>
      </c>
      <c r="N189" s="1">
        <v>15750</v>
      </c>
      <c r="S189" s="1">
        <v>235454</v>
      </c>
      <c r="T189" s="1">
        <v>92945</v>
      </c>
      <c r="U189" s="1">
        <v>40480</v>
      </c>
      <c r="V189" s="1">
        <v>2063</v>
      </c>
      <c r="W189" s="1">
        <v>237837</v>
      </c>
      <c r="X189" s="1">
        <v>96434</v>
      </c>
      <c r="Y189" s="1">
        <v>43037</v>
      </c>
      <c r="Z189" s="1">
        <v>5488</v>
      </c>
      <c r="AA189" s="1">
        <v>230012</v>
      </c>
      <c r="AB189" s="1">
        <v>93684</v>
      </c>
      <c r="AC189" s="1">
        <v>40428</v>
      </c>
      <c r="AD189" s="1">
        <v>6259</v>
      </c>
      <c r="AE189" s="1">
        <v>226715</v>
      </c>
      <c r="AF189" s="1">
        <v>93228</v>
      </c>
      <c r="AG189" s="1">
        <v>42355</v>
      </c>
      <c r="AH189" s="1">
        <v>5536</v>
      </c>
      <c r="AI189">
        <v>-3.59</v>
      </c>
      <c r="AJ189">
        <v>56.69</v>
      </c>
      <c r="AK189">
        <v>68.239999999999995</v>
      </c>
    </row>
    <row r="190" spans="1:37" x14ac:dyDescent="0.2">
      <c r="A190" t="s">
        <v>326</v>
      </c>
      <c r="B190">
        <v>1209477</v>
      </c>
      <c r="C190" s="1">
        <v>45470</v>
      </c>
      <c r="D190" s="1">
        <v>1230914</v>
      </c>
      <c r="E190" t="s">
        <v>327</v>
      </c>
      <c r="G190" s="1">
        <v>528186</v>
      </c>
      <c r="H190" s="1">
        <v>162166</v>
      </c>
      <c r="I190" s="1">
        <v>322112</v>
      </c>
      <c r="J190" s="1">
        <v>9926</v>
      </c>
      <c r="K190" s="1">
        <v>439636</v>
      </c>
      <c r="L190" s="1">
        <v>104468</v>
      </c>
      <c r="M190" s="1">
        <v>295445</v>
      </c>
      <c r="N190" s="1">
        <v>10924</v>
      </c>
      <c r="O190" s="1">
        <v>554641</v>
      </c>
      <c r="P190" s="1">
        <v>175579</v>
      </c>
      <c r="Q190" s="1">
        <v>109808</v>
      </c>
      <c r="R190" s="1">
        <v>4576</v>
      </c>
      <c r="S190" s="1">
        <v>543763</v>
      </c>
      <c r="T190" s="1">
        <v>169066</v>
      </c>
      <c r="U190" s="1">
        <v>104590</v>
      </c>
      <c r="V190" s="1">
        <v>4728</v>
      </c>
      <c r="W190" s="1">
        <v>517590</v>
      </c>
      <c r="X190" s="1">
        <v>162476</v>
      </c>
      <c r="Y190" s="1">
        <v>101048</v>
      </c>
      <c r="Z190" s="1">
        <v>3411</v>
      </c>
      <c r="AA190" s="1">
        <v>528186</v>
      </c>
      <c r="AB190" s="1">
        <v>162166</v>
      </c>
      <c r="AC190" s="1">
        <v>85624</v>
      </c>
      <c r="AD190" s="1">
        <v>2385</v>
      </c>
      <c r="AE190" s="1">
        <v>514808</v>
      </c>
      <c r="AF190" s="1">
        <v>162778</v>
      </c>
      <c r="AG190" s="1">
        <v>84202</v>
      </c>
      <c r="AH190" s="1">
        <v>4849</v>
      </c>
      <c r="AI190">
        <v>31.98</v>
      </c>
      <c r="AJ190">
        <v>198.37</v>
      </c>
      <c r="AK190">
        <v>0</v>
      </c>
    </row>
    <row r="191" spans="1:37" x14ac:dyDescent="0.2">
      <c r="A191" t="s">
        <v>328</v>
      </c>
      <c r="B191">
        <v>103010</v>
      </c>
      <c r="C191" s="1">
        <v>994.8</v>
      </c>
      <c r="D191" s="1">
        <v>1059683</v>
      </c>
      <c r="E191" t="s">
        <v>329</v>
      </c>
      <c r="G191" s="1">
        <v>1261541</v>
      </c>
      <c r="H191" s="1">
        <v>332443</v>
      </c>
      <c r="I191" s="1">
        <v>1858975</v>
      </c>
      <c r="J191" s="1">
        <v>58034</v>
      </c>
      <c r="K191" s="1">
        <v>1244553</v>
      </c>
      <c r="L191" s="1">
        <v>287064</v>
      </c>
      <c r="M191" s="1">
        <v>1675539</v>
      </c>
      <c r="N191" s="1">
        <v>37654</v>
      </c>
      <c r="O191" s="1">
        <v>1541480</v>
      </c>
      <c r="P191" s="1">
        <v>368474</v>
      </c>
      <c r="Q191" s="1">
        <v>528741</v>
      </c>
      <c r="R191" s="1">
        <v>15554</v>
      </c>
      <c r="S191" s="1">
        <v>1469092</v>
      </c>
      <c r="T191" s="1">
        <v>360333</v>
      </c>
      <c r="U191" s="1">
        <v>539708</v>
      </c>
      <c r="V191" s="1">
        <v>24604</v>
      </c>
      <c r="W191" s="1">
        <v>1289325</v>
      </c>
      <c r="X191" s="1">
        <v>338761</v>
      </c>
      <c r="Y191" s="1">
        <v>426017</v>
      </c>
      <c r="Z191" s="1">
        <v>11020</v>
      </c>
      <c r="AA191" s="1">
        <v>1261541</v>
      </c>
      <c r="AB191" s="1">
        <v>332443</v>
      </c>
      <c r="AC191" s="1">
        <v>481222</v>
      </c>
      <c r="AD191" s="1">
        <v>16336</v>
      </c>
      <c r="AE191" s="1">
        <v>1281214</v>
      </c>
      <c r="AF191" s="1">
        <v>318594</v>
      </c>
      <c r="AG191" s="1">
        <v>457078</v>
      </c>
      <c r="AH191" s="1">
        <v>9998</v>
      </c>
      <c r="AI191">
        <v>14.38</v>
      </c>
      <c r="AJ191">
        <v>52.99</v>
      </c>
      <c r="AK191">
        <v>65.39</v>
      </c>
    </row>
    <row r="192" spans="1:37" x14ac:dyDescent="0.2">
      <c r="A192" t="s">
        <v>330</v>
      </c>
      <c r="B192">
        <v>1165307</v>
      </c>
      <c r="C192" s="1">
        <v>1001</v>
      </c>
      <c r="D192" s="1">
        <v>215873</v>
      </c>
      <c r="E192" t="s">
        <v>38</v>
      </c>
      <c r="G192" s="1">
        <v>72403.89</v>
      </c>
      <c r="H192" s="1">
        <v>19226.98</v>
      </c>
      <c r="I192" s="1">
        <v>37647.980000000003</v>
      </c>
      <c r="J192" s="1">
        <v>-16451.62</v>
      </c>
      <c r="K192" s="1">
        <v>65325.9</v>
      </c>
      <c r="L192" s="1">
        <v>31301.01</v>
      </c>
      <c r="M192" s="1">
        <v>32523.31</v>
      </c>
      <c r="N192" s="1">
        <v>-6089.73</v>
      </c>
      <c r="S192" s="1">
        <v>63450.92</v>
      </c>
      <c r="T192" s="1">
        <v>11066.9</v>
      </c>
      <c r="U192" s="1">
        <v>21773</v>
      </c>
      <c r="V192" s="1">
        <v>-7104.8</v>
      </c>
      <c r="AA192" s="1">
        <v>72403.89</v>
      </c>
      <c r="AB192" s="1">
        <v>19226.98</v>
      </c>
      <c r="AC192" s="1">
        <v>20999.43</v>
      </c>
      <c r="AD192" s="1">
        <v>-7494.59</v>
      </c>
      <c r="AI192">
        <v>-11.34</v>
      </c>
      <c r="AJ192">
        <v>-14.1</v>
      </c>
      <c r="AK192">
        <v>40.119999999999997</v>
      </c>
    </row>
    <row r="193" spans="1:37" x14ac:dyDescent="0.2">
      <c r="A193" t="s">
        <v>331</v>
      </c>
      <c r="B193">
        <v>354019</v>
      </c>
      <c r="C193" s="1">
        <v>21800</v>
      </c>
      <c r="D193" s="1">
        <v>1973467</v>
      </c>
      <c r="E193" t="s">
        <v>332</v>
      </c>
      <c r="G193" s="1">
        <v>416003</v>
      </c>
      <c r="H193" s="1">
        <v>282273</v>
      </c>
      <c r="I193" s="1">
        <v>392055</v>
      </c>
      <c r="J193" s="1">
        <v>95680</v>
      </c>
      <c r="K193" s="1">
        <v>437126</v>
      </c>
      <c r="L193" s="1">
        <v>263118</v>
      </c>
      <c r="M193" s="1">
        <v>548819</v>
      </c>
      <c r="N193" s="1">
        <v>128416</v>
      </c>
      <c r="O193" s="1">
        <v>405517</v>
      </c>
      <c r="P193" s="1">
        <v>245825</v>
      </c>
      <c r="Q193" s="1">
        <v>114559</v>
      </c>
      <c r="R193" s="1">
        <v>31455</v>
      </c>
      <c r="S193" s="1">
        <v>406124</v>
      </c>
      <c r="T193" s="1">
        <v>249112</v>
      </c>
      <c r="U193" s="1">
        <v>111948</v>
      </c>
      <c r="V193" s="1">
        <v>32626</v>
      </c>
      <c r="W193" s="1">
        <v>455262</v>
      </c>
      <c r="X193" s="1">
        <v>281383</v>
      </c>
      <c r="Y193" s="1">
        <v>115807</v>
      </c>
      <c r="Z193" s="1">
        <v>32232</v>
      </c>
      <c r="AA193" s="1">
        <v>416003</v>
      </c>
      <c r="AB193" s="1">
        <v>282273</v>
      </c>
      <c r="AC193" s="1">
        <v>97970</v>
      </c>
      <c r="AD193" s="1">
        <v>28552</v>
      </c>
      <c r="AE193" s="1">
        <v>411881</v>
      </c>
      <c r="AF193" s="1">
        <v>286890</v>
      </c>
      <c r="AG193" s="1">
        <v>87145</v>
      </c>
      <c r="AH193" s="1">
        <v>17721</v>
      </c>
      <c r="AI193">
        <v>-3.9</v>
      </c>
      <c r="AJ193">
        <v>41.19</v>
      </c>
      <c r="AK193">
        <v>39.69</v>
      </c>
    </row>
    <row r="194" spans="1:37" x14ac:dyDescent="0.2">
      <c r="A194" t="s">
        <v>333</v>
      </c>
      <c r="B194">
        <v>216010</v>
      </c>
      <c r="C194" s="1">
        <v>299.2</v>
      </c>
      <c r="D194" s="1">
        <v>93408</v>
      </c>
      <c r="E194" t="s">
        <v>38</v>
      </c>
      <c r="G194" s="1">
        <v>74085.16</v>
      </c>
      <c r="H194" s="1">
        <v>54551.83</v>
      </c>
      <c r="I194" s="1">
        <v>21320.36</v>
      </c>
      <c r="J194" s="1">
        <v>2593.02</v>
      </c>
      <c r="K194" s="1">
        <v>45344.76</v>
      </c>
      <c r="L194" s="1">
        <v>40850.9</v>
      </c>
      <c r="M194" s="1">
        <v>14663.96</v>
      </c>
      <c r="N194" s="1">
        <v>2535.27</v>
      </c>
      <c r="S194" s="1">
        <v>58241.18</v>
      </c>
      <c r="T194" s="1">
        <v>44513.77</v>
      </c>
      <c r="U194" s="1">
        <v>2417.7199999999998</v>
      </c>
      <c r="V194" s="1">
        <v>-8676.16</v>
      </c>
      <c r="AA194" s="1">
        <v>74085.16</v>
      </c>
      <c r="AB194" s="1">
        <v>54551.83</v>
      </c>
      <c r="AC194" s="1">
        <v>10284.540000000001</v>
      </c>
      <c r="AD194" s="1">
        <v>1083.1600000000001</v>
      </c>
      <c r="AI194">
        <v>-15.99</v>
      </c>
      <c r="AJ194">
        <v>-26.39</v>
      </c>
      <c r="AK194">
        <v>13.8</v>
      </c>
    </row>
    <row r="195" spans="1:37" x14ac:dyDescent="0.2">
      <c r="A195" t="s">
        <v>334</v>
      </c>
      <c r="B195">
        <v>1180173</v>
      </c>
      <c r="C195" s="1">
        <v>1198</v>
      </c>
      <c r="D195" s="1">
        <v>942671</v>
      </c>
      <c r="E195" t="s">
        <v>38</v>
      </c>
      <c r="G195" s="1">
        <v>1264925</v>
      </c>
      <c r="H195" s="1">
        <v>336628</v>
      </c>
      <c r="I195" s="1">
        <v>20093</v>
      </c>
      <c r="J195" s="1">
        <v>-40413</v>
      </c>
      <c r="K195" s="1">
        <v>1169064</v>
      </c>
      <c r="L195" s="1">
        <v>378468</v>
      </c>
      <c r="M195" s="1">
        <v>20208</v>
      </c>
      <c r="N195" s="1">
        <v>-11376</v>
      </c>
      <c r="O195" s="1">
        <v>1301556</v>
      </c>
      <c r="P195" s="1">
        <v>355826</v>
      </c>
      <c r="Q195" s="1">
        <v>25268</v>
      </c>
      <c r="R195" s="1">
        <v>-2016</v>
      </c>
      <c r="S195" s="1">
        <v>1277191</v>
      </c>
      <c r="T195" s="1">
        <v>361309</v>
      </c>
      <c r="U195" s="1">
        <v>25117</v>
      </c>
      <c r="V195" s="1">
        <v>-4976</v>
      </c>
      <c r="W195" s="1">
        <v>1280012</v>
      </c>
      <c r="X195" s="1">
        <v>377328</v>
      </c>
      <c r="Y195" s="1">
        <v>13521</v>
      </c>
      <c r="Z195" s="1">
        <v>-3831</v>
      </c>
      <c r="AA195" s="1">
        <v>1264925</v>
      </c>
      <c r="AB195" s="1">
        <v>336628</v>
      </c>
      <c r="AC195" s="1">
        <v>-1620</v>
      </c>
      <c r="AD195" s="1">
        <v>-18407</v>
      </c>
      <c r="AE195" s="1">
        <v>1291275</v>
      </c>
      <c r="AF195" s="1">
        <v>358000</v>
      </c>
      <c r="AG195" s="1">
        <v>12108</v>
      </c>
      <c r="AH195" s="1">
        <v>-3403</v>
      </c>
      <c r="AI195">
        <v>10.29</v>
      </c>
      <c r="AJ195">
        <v>83.46</v>
      </c>
      <c r="AK195">
        <v>134.65</v>
      </c>
    </row>
    <row r="196" spans="1:37" x14ac:dyDescent="0.2">
      <c r="A196" t="s">
        <v>335</v>
      </c>
      <c r="B196">
        <v>1174093</v>
      </c>
      <c r="C196" s="1">
        <v>55.8</v>
      </c>
      <c r="D196" s="1">
        <v>13419</v>
      </c>
      <c r="E196" t="s">
        <v>38</v>
      </c>
      <c r="G196" s="1">
        <v>1037</v>
      </c>
      <c r="H196" s="1">
        <v>-5893</v>
      </c>
      <c r="I196" s="1">
        <v>1585</v>
      </c>
      <c r="J196" s="1">
        <v>-4273</v>
      </c>
      <c r="K196" s="1">
        <v>1028</v>
      </c>
      <c r="L196" s="1">
        <v>-5157</v>
      </c>
      <c r="M196" s="1">
        <v>662</v>
      </c>
      <c r="N196" s="1">
        <v>-7150</v>
      </c>
      <c r="S196" s="1">
        <v>14739</v>
      </c>
      <c r="T196" s="1">
        <v>-2592</v>
      </c>
      <c r="U196" s="1">
        <v>5126</v>
      </c>
      <c r="V196" s="1">
        <v>2536</v>
      </c>
      <c r="AA196" s="1">
        <v>1037</v>
      </c>
      <c r="AB196" s="1">
        <v>-5893</v>
      </c>
      <c r="AC196" s="1">
        <v>717</v>
      </c>
      <c r="AD196" s="1">
        <v>-1548</v>
      </c>
      <c r="AI196">
        <v>-20.58</v>
      </c>
      <c r="AJ196">
        <v>-41.75</v>
      </c>
      <c r="AK196">
        <v>-80.900000000000006</v>
      </c>
    </row>
    <row r="197" spans="1:37" x14ac:dyDescent="0.2">
      <c r="A197" t="s">
        <v>336</v>
      </c>
      <c r="B197">
        <v>666016</v>
      </c>
      <c r="C197" s="1">
        <v>55.8</v>
      </c>
      <c r="D197" s="1">
        <v>165647</v>
      </c>
      <c r="E197" t="s">
        <v>38</v>
      </c>
      <c r="G197" s="1">
        <v>55609</v>
      </c>
      <c r="H197" s="1">
        <v>24013</v>
      </c>
      <c r="I197" s="1">
        <v>52884</v>
      </c>
      <c r="J197" s="1">
        <v>10116</v>
      </c>
      <c r="K197" s="1">
        <v>60439</v>
      </c>
      <c r="L197" s="1">
        <v>13324</v>
      </c>
      <c r="M197" s="1">
        <v>66916</v>
      </c>
      <c r="N197" s="1">
        <v>-17970</v>
      </c>
      <c r="O197" s="1">
        <v>47673</v>
      </c>
      <c r="P197" s="1">
        <v>19720</v>
      </c>
      <c r="Q197" s="1">
        <v>6561</v>
      </c>
      <c r="R197" s="1">
        <v>-1104</v>
      </c>
      <c r="S197" s="1">
        <v>50743</v>
      </c>
      <c r="T197" s="1">
        <v>20767</v>
      </c>
      <c r="U197" s="1">
        <v>9585</v>
      </c>
      <c r="V197" s="1">
        <v>5153</v>
      </c>
      <c r="W197" s="1">
        <v>53620</v>
      </c>
      <c r="X197" s="1">
        <v>15587</v>
      </c>
      <c r="Y197" s="1">
        <v>8455</v>
      </c>
      <c r="Z197" s="1">
        <v>-8505</v>
      </c>
      <c r="AA197" s="1">
        <v>55609</v>
      </c>
      <c r="AB197" s="1">
        <v>24013</v>
      </c>
      <c r="AC197" s="1">
        <v>13563</v>
      </c>
      <c r="AD197" s="1">
        <v>-843</v>
      </c>
      <c r="AE197" s="1">
        <v>55915</v>
      </c>
      <c r="AF197" s="1">
        <v>24729</v>
      </c>
      <c r="AG197" s="1">
        <v>9826</v>
      </c>
      <c r="AH197" s="1">
        <v>1628</v>
      </c>
      <c r="AI197">
        <v>13.16</v>
      </c>
      <c r="AJ197">
        <v>67.37</v>
      </c>
      <c r="AK197">
        <v>-47.95</v>
      </c>
    </row>
    <row r="198" spans="1:37" x14ac:dyDescent="0.2">
      <c r="A198" t="s">
        <v>337</v>
      </c>
      <c r="B198">
        <v>1178714</v>
      </c>
      <c r="C198" s="1">
        <v>589.1</v>
      </c>
      <c r="D198" s="1">
        <v>748188</v>
      </c>
      <c r="E198" t="s">
        <v>338</v>
      </c>
      <c r="G198" s="1">
        <v>593233</v>
      </c>
      <c r="H198" s="1">
        <v>261044</v>
      </c>
      <c r="I198" s="1">
        <v>492341</v>
      </c>
      <c r="J198" s="1">
        <v>25212</v>
      </c>
      <c r="K198" s="1">
        <v>538423</v>
      </c>
      <c r="L198" s="1">
        <v>235371</v>
      </c>
      <c r="M198" s="1">
        <v>423695</v>
      </c>
      <c r="N198" s="1">
        <v>-2063</v>
      </c>
      <c r="O198" s="1">
        <v>550470</v>
      </c>
      <c r="P198" s="1">
        <v>247847</v>
      </c>
      <c r="Q198" s="1">
        <v>133777</v>
      </c>
      <c r="R198" s="1">
        <v>4914</v>
      </c>
      <c r="S198" s="1">
        <v>549586</v>
      </c>
      <c r="T198" s="1">
        <v>251408</v>
      </c>
      <c r="U198" s="1">
        <v>133654</v>
      </c>
      <c r="V198" s="1">
        <v>6922</v>
      </c>
      <c r="W198" s="1">
        <v>565174</v>
      </c>
      <c r="X198" s="1">
        <v>244202</v>
      </c>
      <c r="Y198" s="1">
        <v>112888</v>
      </c>
      <c r="Z198" s="1">
        <v>5623</v>
      </c>
      <c r="AA198" s="1">
        <v>593233</v>
      </c>
      <c r="AB198" s="1">
        <v>261044</v>
      </c>
      <c r="AC198" s="1">
        <v>157469</v>
      </c>
      <c r="AD198" s="1">
        <v>11016</v>
      </c>
      <c r="AE198" s="1">
        <v>565453</v>
      </c>
      <c r="AF198" s="1">
        <v>250911</v>
      </c>
      <c r="AG198" s="1">
        <v>109091</v>
      </c>
      <c r="AH198" s="1">
        <v>3378</v>
      </c>
      <c r="AI198">
        <v>14.7</v>
      </c>
      <c r="AJ198">
        <v>41.67</v>
      </c>
      <c r="AK198">
        <v>-7.2</v>
      </c>
    </row>
    <row r="199" spans="1:37" x14ac:dyDescent="0.2">
      <c r="A199" t="s">
        <v>339</v>
      </c>
      <c r="B199">
        <v>111013</v>
      </c>
      <c r="C199" s="1">
        <v>767.1</v>
      </c>
      <c r="D199" s="1">
        <v>32502</v>
      </c>
      <c r="E199" t="s">
        <v>38</v>
      </c>
      <c r="G199" s="1">
        <v>9936</v>
      </c>
      <c r="H199" s="1">
        <v>6846</v>
      </c>
      <c r="I199" s="1">
        <v>76</v>
      </c>
      <c r="J199" s="1">
        <v>-3675</v>
      </c>
      <c r="K199" s="1">
        <v>657</v>
      </c>
      <c r="L199" s="1">
        <v>-3029</v>
      </c>
      <c r="M199" s="1">
        <v>10998</v>
      </c>
      <c r="N199" s="1">
        <v>-1786</v>
      </c>
      <c r="S199" s="1">
        <v>9954</v>
      </c>
      <c r="T199" s="1">
        <v>6952</v>
      </c>
      <c r="V199" s="1">
        <v>-1758</v>
      </c>
      <c r="AA199" s="1">
        <v>9936</v>
      </c>
      <c r="AB199" s="1">
        <v>6846</v>
      </c>
      <c r="AD199" s="1">
        <v>-4214</v>
      </c>
      <c r="AI199">
        <v>10.15</v>
      </c>
      <c r="AJ199">
        <v>-15.93</v>
      </c>
      <c r="AK199">
        <v>-32.31</v>
      </c>
    </row>
    <row r="200" spans="1:37" x14ac:dyDescent="0.2">
      <c r="A200" t="s">
        <v>340</v>
      </c>
      <c r="B200">
        <v>1184282</v>
      </c>
      <c r="C200" s="1">
        <v>4922</v>
      </c>
      <c r="D200" s="1">
        <v>3865102</v>
      </c>
      <c r="E200" t="s">
        <v>341</v>
      </c>
      <c r="G200" s="1">
        <v>5702916.1299999999</v>
      </c>
      <c r="H200" s="1">
        <v>3333463.83</v>
      </c>
      <c r="I200" s="1">
        <v>877293.16</v>
      </c>
      <c r="J200" s="1">
        <v>9015.3799999999992</v>
      </c>
      <c r="K200" s="1">
        <v>5177821.91</v>
      </c>
      <c r="L200" s="1">
        <v>2556019.5099999998</v>
      </c>
      <c r="M200" s="1">
        <v>801295</v>
      </c>
      <c r="N200" s="1">
        <v>-31605.68</v>
      </c>
      <c r="O200" s="1">
        <v>5387242.7000000002</v>
      </c>
      <c r="P200" s="1">
        <v>3057031.75</v>
      </c>
      <c r="Q200" s="1">
        <v>221230.91</v>
      </c>
      <c r="R200" s="1">
        <v>13921.57</v>
      </c>
      <c r="S200" s="1">
        <v>5476202.1500000004</v>
      </c>
      <c r="T200" s="1">
        <v>3142643.28</v>
      </c>
      <c r="U200" s="1">
        <v>224720.19</v>
      </c>
      <c r="V200" s="1">
        <v>8537.9</v>
      </c>
      <c r="W200" s="1">
        <v>5760319.6100000003</v>
      </c>
      <c r="X200" s="1">
        <v>3392165.57</v>
      </c>
      <c r="Y200" s="1">
        <v>227634.55</v>
      </c>
      <c r="Z200" s="1">
        <v>-1007.58</v>
      </c>
      <c r="AA200" s="1">
        <v>5702916.1299999999</v>
      </c>
      <c r="AB200" s="1">
        <v>3333463.83</v>
      </c>
      <c r="AC200" s="1">
        <v>225650.84</v>
      </c>
      <c r="AD200" s="1">
        <v>102.12</v>
      </c>
      <c r="AE200" s="1">
        <v>5570687.4900000002</v>
      </c>
      <c r="AF200" s="1">
        <v>3177474.05</v>
      </c>
      <c r="AG200" s="1">
        <v>225089.41</v>
      </c>
      <c r="AH200" s="1">
        <v>30351.51</v>
      </c>
      <c r="AI200">
        <v>-5.94</v>
      </c>
      <c r="AJ200">
        <v>-27.78</v>
      </c>
      <c r="AK200">
        <v>0.41</v>
      </c>
    </row>
    <row r="201" spans="1:37" x14ac:dyDescent="0.2">
      <c r="A201" t="s">
        <v>342</v>
      </c>
      <c r="B201">
        <v>1157114</v>
      </c>
      <c r="C201" s="1">
        <v>489.5</v>
      </c>
      <c r="D201" s="1">
        <v>100671</v>
      </c>
      <c r="E201" t="s">
        <v>343</v>
      </c>
      <c r="G201" s="1">
        <v>122240</v>
      </c>
      <c r="H201" s="1">
        <v>57913</v>
      </c>
      <c r="I201" s="1">
        <v>89612</v>
      </c>
      <c r="J201" s="1">
        <v>158</v>
      </c>
      <c r="K201" s="1">
        <v>111542</v>
      </c>
      <c r="L201" s="1">
        <v>57715</v>
      </c>
      <c r="M201" s="1">
        <v>102109</v>
      </c>
      <c r="N201" s="1">
        <v>1032</v>
      </c>
      <c r="S201" s="1">
        <v>127596</v>
      </c>
      <c r="T201" s="1">
        <v>55491</v>
      </c>
      <c r="U201" s="1">
        <v>56334</v>
      </c>
      <c r="V201" s="1">
        <v>1409</v>
      </c>
      <c r="AA201" s="1">
        <v>122240</v>
      </c>
      <c r="AB201" s="1">
        <v>57913</v>
      </c>
      <c r="AC201" s="1">
        <v>45580</v>
      </c>
      <c r="AD201" s="1">
        <v>29</v>
      </c>
      <c r="AI201">
        <v>-8.77</v>
      </c>
      <c r="AJ201">
        <v>28.66</v>
      </c>
      <c r="AK201">
        <v>-42.38</v>
      </c>
    </row>
    <row r="202" spans="1:37" x14ac:dyDescent="0.2">
      <c r="A202" t="s">
        <v>344</v>
      </c>
      <c r="B202">
        <v>1170000</v>
      </c>
      <c r="C202" s="1">
        <v>22.8</v>
      </c>
      <c r="D202" s="1">
        <v>6100</v>
      </c>
      <c r="E202" t="s">
        <v>38</v>
      </c>
      <c r="G202" s="1">
        <v>6570</v>
      </c>
      <c r="H202" s="1">
        <v>2913</v>
      </c>
      <c r="I202" s="1">
        <v>665</v>
      </c>
      <c r="J202" s="1">
        <v>-22971</v>
      </c>
      <c r="K202" s="1">
        <v>35025</v>
      </c>
      <c r="L202" s="1">
        <v>26106</v>
      </c>
      <c r="M202" s="1">
        <v>4950</v>
      </c>
      <c r="N202" s="1">
        <v>-36635</v>
      </c>
      <c r="S202" s="1">
        <v>4390</v>
      </c>
      <c r="T202" s="1">
        <v>3285</v>
      </c>
      <c r="V202" s="1">
        <v>523</v>
      </c>
      <c r="AA202" s="1">
        <v>6570</v>
      </c>
      <c r="AB202" s="1">
        <v>2913</v>
      </c>
      <c r="AC202" s="1">
        <v>105</v>
      </c>
      <c r="AD202" s="1">
        <v>-9897</v>
      </c>
      <c r="AI202">
        <v>3.15</v>
      </c>
      <c r="AJ202">
        <v>-26.13</v>
      </c>
      <c r="AK202">
        <v>-76.42</v>
      </c>
    </row>
    <row r="203" spans="1:37" x14ac:dyDescent="0.2">
      <c r="A203" t="s">
        <v>345</v>
      </c>
      <c r="B203">
        <v>1144773</v>
      </c>
      <c r="C203" s="1">
        <v>3113</v>
      </c>
      <c r="D203" s="1">
        <v>3922380</v>
      </c>
      <c r="E203" t="s">
        <v>346</v>
      </c>
      <c r="G203" s="1">
        <v>7284000</v>
      </c>
      <c r="H203" s="1">
        <v>1563000</v>
      </c>
      <c r="I203" s="1">
        <v>4643000</v>
      </c>
      <c r="J203" s="1">
        <v>300000</v>
      </c>
      <c r="K203" s="1">
        <v>5868690</v>
      </c>
      <c r="L203" s="1">
        <v>1442611</v>
      </c>
      <c r="M203" s="1">
        <v>3529234</v>
      </c>
      <c r="N203" s="1">
        <v>300198</v>
      </c>
      <c r="S203" s="1">
        <v>7292000</v>
      </c>
      <c r="T203" s="1">
        <v>1576000</v>
      </c>
      <c r="U203" s="1">
        <v>1179000</v>
      </c>
      <c r="V203" s="1">
        <v>61000</v>
      </c>
      <c r="W203" s="1">
        <v>7533000</v>
      </c>
      <c r="X203" s="1">
        <v>1553000</v>
      </c>
      <c r="Y203" s="1">
        <v>1404000</v>
      </c>
      <c r="Z203" s="1">
        <v>70000</v>
      </c>
      <c r="AA203" s="1">
        <v>7284000</v>
      </c>
      <c r="AB203" s="1">
        <v>1563000</v>
      </c>
      <c r="AC203" s="1">
        <v>1068248</v>
      </c>
      <c r="AD203" s="1">
        <v>73878</v>
      </c>
      <c r="AE203" s="1">
        <v>6711048</v>
      </c>
      <c r="AF203" s="1">
        <v>1510601</v>
      </c>
      <c r="AG203" s="1">
        <v>1210943</v>
      </c>
      <c r="AH203" s="1">
        <v>71240</v>
      </c>
      <c r="AI203">
        <v>0</v>
      </c>
      <c r="AJ203">
        <v>0</v>
      </c>
      <c r="AK203">
        <v>0</v>
      </c>
    </row>
    <row r="204" spans="1:37" x14ac:dyDescent="0.2">
      <c r="A204" t="s">
        <v>347</v>
      </c>
      <c r="B204">
        <v>1083831</v>
      </c>
      <c r="C204" s="1">
        <v>2299</v>
      </c>
      <c r="D204" s="1">
        <v>321689</v>
      </c>
      <c r="E204" t="s">
        <v>348</v>
      </c>
      <c r="G204" s="1">
        <v>142989</v>
      </c>
      <c r="H204" s="1">
        <v>91099</v>
      </c>
      <c r="I204" s="1">
        <v>192236</v>
      </c>
      <c r="J204" s="1">
        <v>43708</v>
      </c>
      <c r="K204" s="1">
        <v>151339</v>
      </c>
      <c r="L204" s="1">
        <v>69980</v>
      </c>
      <c r="M204" s="1">
        <v>211671</v>
      </c>
      <c r="N204" s="1">
        <v>41213</v>
      </c>
      <c r="O204" s="1">
        <v>139072</v>
      </c>
      <c r="P204" s="1">
        <v>80556</v>
      </c>
      <c r="Q204" s="1">
        <v>37942</v>
      </c>
      <c r="R204" s="1">
        <v>5331</v>
      </c>
      <c r="S204" s="1">
        <v>139895</v>
      </c>
      <c r="T204" s="1">
        <v>75036</v>
      </c>
      <c r="U204" s="1">
        <v>39599</v>
      </c>
      <c r="V204" s="1">
        <v>6776</v>
      </c>
      <c r="W204" s="1">
        <v>146844</v>
      </c>
      <c r="X204" s="1">
        <v>90319</v>
      </c>
      <c r="Y204" s="1">
        <v>40329</v>
      </c>
      <c r="Z204" s="1">
        <v>6444</v>
      </c>
      <c r="AA204" s="1">
        <v>142989</v>
      </c>
      <c r="AB204" s="1">
        <v>91099</v>
      </c>
      <c r="AC204" s="1">
        <v>42469</v>
      </c>
      <c r="AD204" s="1">
        <v>8650</v>
      </c>
      <c r="AE204" s="1">
        <v>142857</v>
      </c>
      <c r="AF204" s="1">
        <v>82243</v>
      </c>
      <c r="AG204" s="1">
        <v>43153</v>
      </c>
      <c r="AH204" s="1">
        <v>7271</v>
      </c>
      <c r="AI204">
        <v>-3.23</v>
      </c>
      <c r="AJ204">
        <v>-18.61</v>
      </c>
      <c r="AK204">
        <v>52.21</v>
      </c>
    </row>
    <row r="205" spans="1:37" x14ac:dyDescent="0.2">
      <c r="A205" t="s">
        <v>349</v>
      </c>
      <c r="B205">
        <v>1168657</v>
      </c>
      <c r="C205" s="1">
        <v>302.89999999999998</v>
      </c>
      <c r="D205" s="1">
        <v>20834</v>
      </c>
      <c r="E205" t="s">
        <v>38</v>
      </c>
      <c r="G205" s="1">
        <v>40711</v>
      </c>
      <c r="H205" s="1">
        <v>40286</v>
      </c>
      <c r="J205" s="1">
        <v>-6805</v>
      </c>
      <c r="K205" s="1">
        <v>47561</v>
      </c>
      <c r="L205" s="1">
        <v>47054</v>
      </c>
      <c r="N205" s="1">
        <v>-13871</v>
      </c>
      <c r="S205" s="1">
        <v>41438</v>
      </c>
      <c r="T205" s="1">
        <v>41097</v>
      </c>
      <c r="V205" s="1">
        <v>811</v>
      </c>
      <c r="AA205" s="1">
        <v>40711</v>
      </c>
      <c r="AB205" s="1">
        <v>40286</v>
      </c>
      <c r="AD205" s="1">
        <v>-5083</v>
      </c>
      <c r="AI205">
        <v>9.76</v>
      </c>
      <c r="AJ205">
        <v>-1.67</v>
      </c>
      <c r="AK205">
        <v>21.95</v>
      </c>
    </row>
    <row r="206" spans="1:37" x14ac:dyDescent="0.2">
      <c r="A206" t="s">
        <v>350</v>
      </c>
      <c r="B206">
        <v>1174846</v>
      </c>
      <c r="C206" s="1">
        <v>108.9</v>
      </c>
      <c r="D206" s="1">
        <v>4907</v>
      </c>
      <c r="E206" t="s">
        <v>38</v>
      </c>
      <c r="G206" s="1">
        <v>14157.65</v>
      </c>
      <c r="H206" s="1">
        <v>13792.95</v>
      </c>
      <c r="J206" s="1">
        <v>-3588.65</v>
      </c>
      <c r="K206" s="1">
        <v>15799.21</v>
      </c>
      <c r="L206" s="1">
        <v>15567.08</v>
      </c>
      <c r="N206" s="1">
        <v>-1762.72</v>
      </c>
      <c r="S206" s="1">
        <v>12894.53</v>
      </c>
      <c r="T206" s="1">
        <v>11731.19</v>
      </c>
      <c r="V206" s="1">
        <v>-1021.72</v>
      </c>
      <c r="AA206" s="1">
        <v>14157.65</v>
      </c>
      <c r="AB206" s="1">
        <v>13792.95</v>
      </c>
      <c r="AD206" s="1">
        <v>-2111.61</v>
      </c>
      <c r="AI206">
        <v>12.79</v>
      </c>
      <c r="AJ206">
        <v>-12.49</v>
      </c>
      <c r="AK206">
        <v>-60.45</v>
      </c>
    </row>
    <row r="207" spans="1:37" x14ac:dyDescent="0.2">
      <c r="A207" t="s">
        <v>351</v>
      </c>
      <c r="B207">
        <v>1188416</v>
      </c>
      <c r="C207" s="1">
        <v>298.39999999999998</v>
      </c>
      <c r="D207" s="1">
        <v>73284</v>
      </c>
      <c r="E207" t="s">
        <v>38</v>
      </c>
      <c r="G207" s="1">
        <v>180095</v>
      </c>
      <c r="H207" s="1">
        <v>35895</v>
      </c>
      <c r="I207" s="1">
        <v>75306</v>
      </c>
      <c r="J207" s="1">
        <v>1000</v>
      </c>
      <c r="K207" s="1">
        <v>193380</v>
      </c>
      <c r="L207" s="1">
        <v>34895</v>
      </c>
      <c r="M207" s="1">
        <v>46442</v>
      </c>
      <c r="N207" s="1">
        <v>4703</v>
      </c>
      <c r="S207" s="1">
        <v>196341</v>
      </c>
      <c r="T207" s="1">
        <v>45996</v>
      </c>
      <c r="U207" s="1">
        <v>17598</v>
      </c>
      <c r="V207" s="1">
        <v>-1999</v>
      </c>
      <c r="W207" s="1">
        <v>209526</v>
      </c>
      <c r="X207" s="1">
        <v>47995</v>
      </c>
      <c r="Y207" s="1">
        <v>8276</v>
      </c>
      <c r="Z207" s="1">
        <v>-4637</v>
      </c>
      <c r="AA207" s="1">
        <v>180095</v>
      </c>
      <c r="AB207" s="1">
        <v>35895</v>
      </c>
      <c r="AC207" s="1">
        <v>15189</v>
      </c>
      <c r="AD207" s="1">
        <v>-2239</v>
      </c>
      <c r="AE207" s="1">
        <v>195189</v>
      </c>
      <c r="AF207" s="1">
        <v>38134</v>
      </c>
      <c r="AG207" s="1">
        <v>16751</v>
      </c>
      <c r="AH207" s="1">
        <v>-268</v>
      </c>
      <c r="AI207">
        <v>49.6</v>
      </c>
      <c r="AJ207">
        <v>0</v>
      </c>
      <c r="AK207">
        <v>0</v>
      </c>
    </row>
    <row r="208" spans="1:37" x14ac:dyDescent="0.2">
      <c r="A208" t="s">
        <v>352</v>
      </c>
      <c r="B208">
        <v>1227321</v>
      </c>
      <c r="C208" s="1">
        <v>945.2</v>
      </c>
      <c r="D208" s="1">
        <v>199729</v>
      </c>
      <c r="E208" t="s">
        <v>38</v>
      </c>
      <c r="G208" s="1">
        <v>127410</v>
      </c>
      <c r="H208" s="1">
        <v>70821</v>
      </c>
      <c r="I208" s="1">
        <v>51462</v>
      </c>
      <c r="J208" s="1">
        <v>-1553</v>
      </c>
      <c r="K208" s="1">
        <v>130516</v>
      </c>
      <c r="L208" s="1">
        <v>71984</v>
      </c>
      <c r="M208" s="1">
        <v>27617</v>
      </c>
      <c r="N208" s="1">
        <v>-969</v>
      </c>
      <c r="S208" s="1">
        <v>223183</v>
      </c>
      <c r="T208" s="1">
        <v>72686</v>
      </c>
      <c r="U208" s="1">
        <v>26150</v>
      </c>
      <c r="V208" s="1">
        <v>-286</v>
      </c>
      <c r="AA208" s="1">
        <v>127410</v>
      </c>
      <c r="AB208" s="1">
        <v>70821</v>
      </c>
      <c r="AC208" s="1">
        <v>32224</v>
      </c>
      <c r="AD208" s="1">
        <v>860</v>
      </c>
      <c r="AI208">
        <v>-21.14</v>
      </c>
      <c r="AJ208">
        <v>0</v>
      </c>
      <c r="AK208">
        <v>0</v>
      </c>
    </row>
    <row r="209" spans="1:37" x14ac:dyDescent="0.2">
      <c r="A209" t="s">
        <v>353</v>
      </c>
      <c r="B209">
        <v>1185057</v>
      </c>
      <c r="C209" s="1">
        <v>3160</v>
      </c>
      <c r="D209" s="1">
        <v>776861</v>
      </c>
      <c r="E209" t="s">
        <v>354</v>
      </c>
      <c r="G209" s="1">
        <v>2203918</v>
      </c>
      <c r="H209" s="1">
        <v>371764</v>
      </c>
      <c r="I209" s="1">
        <v>173717</v>
      </c>
      <c r="J209" s="1">
        <v>69525</v>
      </c>
      <c r="K209" s="1">
        <v>1481261</v>
      </c>
      <c r="L209" s="1">
        <v>301827</v>
      </c>
      <c r="M209" s="1">
        <v>152064</v>
      </c>
      <c r="N209" s="1">
        <v>56813</v>
      </c>
      <c r="O209" s="1">
        <v>2668783</v>
      </c>
      <c r="P209" s="1">
        <v>433648</v>
      </c>
      <c r="Q209" s="1">
        <v>57187</v>
      </c>
      <c r="R209" s="1">
        <v>20298</v>
      </c>
      <c r="S209" s="1">
        <v>2566635</v>
      </c>
      <c r="T209" s="1">
        <v>413351</v>
      </c>
      <c r="U209" s="1">
        <v>58228</v>
      </c>
      <c r="V209" s="1">
        <v>21144</v>
      </c>
      <c r="W209" s="1">
        <v>2458528</v>
      </c>
      <c r="X209" s="1">
        <v>392207</v>
      </c>
      <c r="Y209" s="1">
        <v>52000</v>
      </c>
      <c r="Z209" s="1">
        <v>20377</v>
      </c>
      <c r="AA209" s="1">
        <v>2203918</v>
      </c>
      <c r="AB209" s="1">
        <v>371764</v>
      </c>
      <c r="AC209" s="1">
        <v>47580</v>
      </c>
      <c r="AD209" s="1">
        <v>16984</v>
      </c>
      <c r="AE209" s="1">
        <v>1893914</v>
      </c>
      <c r="AF209" s="1">
        <v>354779</v>
      </c>
      <c r="AG209" s="1">
        <v>46533</v>
      </c>
      <c r="AH209" s="1">
        <v>18105</v>
      </c>
      <c r="AI209">
        <v>-10.83</v>
      </c>
      <c r="AJ209">
        <v>51.59</v>
      </c>
      <c r="AK209">
        <v>130.51</v>
      </c>
    </row>
    <row r="210" spans="1:37" x14ac:dyDescent="0.2">
      <c r="A210" t="s">
        <v>355</v>
      </c>
      <c r="B210">
        <v>1142421</v>
      </c>
      <c r="C210" s="1">
        <v>70.2</v>
      </c>
      <c r="D210" s="1">
        <v>126432</v>
      </c>
      <c r="E210" t="s">
        <v>38</v>
      </c>
      <c r="G210" s="1">
        <v>513769</v>
      </c>
      <c r="H210" s="1">
        <v>203575</v>
      </c>
      <c r="I210" s="1">
        <v>313865</v>
      </c>
      <c r="J210" s="1">
        <v>-16645</v>
      </c>
      <c r="K210" s="1">
        <v>499615</v>
      </c>
      <c r="L210" s="1">
        <v>219903</v>
      </c>
      <c r="M210" s="1">
        <v>344830</v>
      </c>
      <c r="N210" s="1">
        <v>-4568</v>
      </c>
      <c r="S210" s="1">
        <v>514689</v>
      </c>
      <c r="T210" s="1">
        <v>203907</v>
      </c>
      <c r="U210" s="1">
        <v>197209</v>
      </c>
      <c r="V210" s="1">
        <v>-1773</v>
      </c>
      <c r="AA210" s="1">
        <v>513769</v>
      </c>
      <c r="AB210" s="1">
        <v>203575</v>
      </c>
      <c r="AC210" s="1">
        <v>164327</v>
      </c>
      <c r="AD210" s="1">
        <v>-15871</v>
      </c>
      <c r="AI210">
        <v>23.49</v>
      </c>
      <c r="AJ210">
        <v>105.01</v>
      </c>
      <c r="AK210">
        <v>34.31</v>
      </c>
    </row>
    <row r="211" spans="1:37" x14ac:dyDescent="0.2">
      <c r="A211" t="s">
        <v>356</v>
      </c>
      <c r="B211">
        <v>704015</v>
      </c>
      <c r="C211" s="1">
        <v>7245</v>
      </c>
      <c r="D211" s="1">
        <v>818001</v>
      </c>
      <c r="E211" t="s">
        <v>357</v>
      </c>
      <c r="G211" s="1">
        <v>22409839</v>
      </c>
      <c r="H211" s="1">
        <v>1122323</v>
      </c>
      <c r="I211" s="1">
        <v>836557</v>
      </c>
      <c r="J211" s="1">
        <v>124226</v>
      </c>
      <c r="K211" s="1">
        <v>21850997</v>
      </c>
      <c r="L211" s="1">
        <v>1001918</v>
      </c>
      <c r="M211" s="1">
        <v>760583</v>
      </c>
      <c r="N211" s="1">
        <v>103294</v>
      </c>
      <c r="O211" s="1">
        <v>22365382</v>
      </c>
      <c r="P211" s="1">
        <v>1260810</v>
      </c>
      <c r="R211" s="1">
        <v>48196</v>
      </c>
      <c r="S211" s="1">
        <v>21884027</v>
      </c>
      <c r="T211" s="1">
        <v>1216251</v>
      </c>
      <c r="U211" s="1">
        <v>265178</v>
      </c>
      <c r="V211" s="1">
        <v>53885</v>
      </c>
      <c r="W211" s="1">
        <v>22627892</v>
      </c>
      <c r="X211" s="1">
        <v>1154683</v>
      </c>
      <c r="Y211" s="1">
        <v>225112</v>
      </c>
      <c r="Z211" s="1">
        <v>36774</v>
      </c>
      <c r="AA211" s="1">
        <v>22409839</v>
      </c>
      <c r="AB211" s="1">
        <v>1122323</v>
      </c>
      <c r="AC211" s="1">
        <v>205092</v>
      </c>
      <c r="AD211" s="1">
        <v>16482</v>
      </c>
      <c r="AE211" s="1">
        <v>22389201</v>
      </c>
      <c r="AF211" s="1">
        <v>1099885</v>
      </c>
      <c r="AG211" s="1">
        <v>214267</v>
      </c>
      <c r="AH211" s="1">
        <v>36338</v>
      </c>
      <c r="AI211">
        <v>-7.12</v>
      </c>
      <c r="AJ211">
        <v>14.57</v>
      </c>
      <c r="AK211">
        <v>82.87</v>
      </c>
    </row>
    <row r="212" spans="1:37" x14ac:dyDescent="0.2">
      <c r="A212" t="s">
        <v>358</v>
      </c>
      <c r="B212">
        <v>726018</v>
      </c>
      <c r="C212" s="1">
        <v>2255</v>
      </c>
      <c r="D212" s="1">
        <v>1590175</v>
      </c>
      <c r="E212" t="s">
        <v>359</v>
      </c>
      <c r="G212" s="1">
        <v>22389300</v>
      </c>
      <c r="H212" s="1">
        <v>1451300</v>
      </c>
      <c r="J212" s="1">
        <v>154600</v>
      </c>
      <c r="K212" s="1">
        <v>21825500</v>
      </c>
      <c r="L212" s="1">
        <v>1329200</v>
      </c>
      <c r="N212" s="1">
        <v>134600</v>
      </c>
      <c r="O212" s="1">
        <v>22250300</v>
      </c>
      <c r="P212" s="1">
        <v>1566800</v>
      </c>
      <c r="R212" s="1">
        <v>59400</v>
      </c>
      <c r="S212" s="1">
        <v>21859500</v>
      </c>
      <c r="T212" s="1">
        <v>1550800</v>
      </c>
      <c r="V212" s="1">
        <v>65100</v>
      </c>
      <c r="W212" s="1">
        <v>22607200</v>
      </c>
      <c r="X212" s="1">
        <v>1476800</v>
      </c>
      <c r="Z212" s="1">
        <v>45800</v>
      </c>
      <c r="AA212" s="1">
        <v>22389300</v>
      </c>
      <c r="AB212" s="1">
        <v>1451300</v>
      </c>
      <c r="AD212" s="1">
        <v>22600</v>
      </c>
      <c r="AE212" s="1">
        <v>22355100</v>
      </c>
      <c r="AF212" s="1">
        <v>1421800</v>
      </c>
      <c r="AH212" s="1">
        <v>45500</v>
      </c>
      <c r="AI212">
        <v>-8.2100000000000009</v>
      </c>
      <c r="AJ212">
        <v>52.98</v>
      </c>
      <c r="AK212">
        <v>102.79</v>
      </c>
    </row>
    <row r="213" spans="1:37" x14ac:dyDescent="0.2">
      <c r="A213" t="s">
        <v>360</v>
      </c>
      <c r="B213">
        <v>1187194</v>
      </c>
      <c r="C213" s="1">
        <v>183.6</v>
      </c>
      <c r="D213" s="1">
        <v>481081</v>
      </c>
      <c r="E213" t="s">
        <v>38</v>
      </c>
      <c r="G213" s="1">
        <v>1502775.56</v>
      </c>
      <c r="H213" s="1">
        <v>335396.36</v>
      </c>
      <c r="I213" s="1">
        <v>1652667.26</v>
      </c>
      <c r="J213" s="1">
        <v>79748.95</v>
      </c>
      <c r="K213" s="1">
        <v>1028033.28</v>
      </c>
      <c r="L213" s="1">
        <v>258318.57</v>
      </c>
      <c r="M213" s="1">
        <v>1414243.5</v>
      </c>
      <c r="N213" s="1">
        <v>61829.47</v>
      </c>
      <c r="S213" s="1">
        <v>1509900.66</v>
      </c>
      <c r="T213" s="1">
        <v>257239.76</v>
      </c>
      <c r="U213" s="1">
        <v>462510.26</v>
      </c>
      <c r="V213" s="1">
        <v>-34849.620000000003</v>
      </c>
      <c r="W213" s="1">
        <v>1639370.28</v>
      </c>
      <c r="X213" s="1">
        <v>310813.64</v>
      </c>
      <c r="Y213" s="1">
        <v>505547.61</v>
      </c>
      <c r="Z213" s="1">
        <v>-37421.67</v>
      </c>
      <c r="AA213" s="1">
        <v>1502775.56</v>
      </c>
      <c r="AB213" s="1">
        <v>335396.36</v>
      </c>
      <c r="AC213" s="1">
        <v>485102.07</v>
      </c>
      <c r="AD213" s="1">
        <v>-10120.43</v>
      </c>
      <c r="AE213" s="1">
        <v>1453615.11</v>
      </c>
      <c r="AF213" s="1">
        <v>358838.62</v>
      </c>
      <c r="AG213" s="1">
        <v>616512.97</v>
      </c>
      <c r="AH213" s="1">
        <v>74852.960000000006</v>
      </c>
      <c r="AI213">
        <v>-10.43</v>
      </c>
      <c r="AJ213">
        <v>1.03</v>
      </c>
      <c r="AK213">
        <v>52.91</v>
      </c>
    </row>
    <row r="214" spans="1:37" x14ac:dyDescent="0.2">
      <c r="A214" t="s">
        <v>361</v>
      </c>
      <c r="B214">
        <v>810010</v>
      </c>
      <c r="C214" s="1">
        <v>20420</v>
      </c>
      <c r="D214" s="1">
        <v>1344454</v>
      </c>
      <c r="E214" t="s">
        <v>362</v>
      </c>
      <c r="G214" s="1">
        <v>123002.37</v>
      </c>
      <c r="H214" s="1">
        <v>106590.87</v>
      </c>
      <c r="I214" s="1">
        <v>106981.1</v>
      </c>
      <c r="J214" s="1">
        <v>80004.240000000005</v>
      </c>
      <c r="K214" s="1">
        <v>124108.69</v>
      </c>
      <c r="L214" s="1">
        <v>104366.93</v>
      </c>
      <c r="M214" s="1">
        <v>95999.44</v>
      </c>
      <c r="N214" s="1">
        <v>80098.67</v>
      </c>
      <c r="S214" s="1">
        <v>135635.32999999999</v>
      </c>
      <c r="T214" s="1">
        <v>121034.57</v>
      </c>
      <c r="U214" s="1">
        <v>19338.419999999998</v>
      </c>
      <c r="V214" s="1">
        <v>37591.06</v>
      </c>
      <c r="W214" s="1">
        <v>147928.06</v>
      </c>
      <c r="X214" s="1">
        <v>131948.1</v>
      </c>
      <c r="Y214" s="1">
        <v>26438.7</v>
      </c>
      <c r="Z214" s="1">
        <v>23282.12</v>
      </c>
      <c r="AA214" s="1">
        <v>123002.37</v>
      </c>
      <c r="AB214" s="1">
        <v>106590.87</v>
      </c>
      <c r="AC214" s="1">
        <v>24489.61</v>
      </c>
      <c r="AD214" s="1">
        <v>21298.48</v>
      </c>
      <c r="AE214" s="1">
        <v>143135.51</v>
      </c>
      <c r="AF214" s="1">
        <v>126633.43</v>
      </c>
      <c r="AG214" s="1">
        <v>30971.08</v>
      </c>
      <c r="AH214" s="1">
        <v>29524.18</v>
      </c>
      <c r="AI214">
        <v>5.54</v>
      </c>
      <c r="AJ214">
        <v>62.69</v>
      </c>
      <c r="AK214">
        <v>204.38</v>
      </c>
    </row>
    <row r="215" spans="1:37" x14ac:dyDescent="0.2">
      <c r="A215" t="s">
        <v>363</v>
      </c>
      <c r="B215">
        <v>1104280</v>
      </c>
      <c r="C215" s="1">
        <v>32.299999999999997</v>
      </c>
      <c r="D215" s="1">
        <v>50661</v>
      </c>
      <c r="E215" t="s">
        <v>38</v>
      </c>
      <c r="G215" s="1">
        <v>67688</v>
      </c>
      <c r="H215" s="1">
        <v>36633</v>
      </c>
      <c r="J215" s="1">
        <v>-62456</v>
      </c>
      <c r="K215" s="1">
        <v>158386</v>
      </c>
      <c r="L215" s="1">
        <v>99358</v>
      </c>
      <c r="M215" s="1">
        <v>104</v>
      </c>
      <c r="N215" s="1">
        <v>-31051</v>
      </c>
      <c r="S215" s="1">
        <v>52121</v>
      </c>
      <c r="T215" s="1">
        <v>23853</v>
      </c>
      <c r="V215" s="1">
        <v>-10350</v>
      </c>
      <c r="AA215" s="1">
        <v>67688</v>
      </c>
      <c r="AB215" s="1">
        <v>36633</v>
      </c>
      <c r="AD215" s="1">
        <v>-21195</v>
      </c>
      <c r="AI215">
        <v>9.9700000000000006</v>
      </c>
      <c r="AJ215">
        <v>-11.97</v>
      </c>
      <c r="AK215">
        <v>-53.31</v>
      </c>
    </row>
    <row r="216" spans="1:37" x14ac:dyDescent="0.2">
      <c r="A216" t="s">
        <v>364</v>
      </c>
      <c r="B216">
        <v>1094473</v>
      </c>
      <c r="C216" s="1">
        <v>1</v>
      </c>
      <c r="D216" s="1">
        <v>78553</v>
      </c>
      <c r="E216" t="s">
        <v>38</v>
      </c>
      <c r="G216" s="1">
        <v>33260.639999999999</v>
      </c>
      <c r="H216" s="1">
        <v>19825.09</v>
      </c>
      <c r="I216" s="1">
        <v>2458.08</v>
      </c>
      <c r="J216" s="1">
        <v>-28738.36</v>
      </c>
      <c r="K216" s="1">
        <v>36230.1</v>
      </c>
      <c r="L216" s="1">
        <v>22643.360000000001</v>
      </c>
      <c r="M216" s="1">
        <v>2694.86</v>
      </c>
      <c r="N216" s="1">
        <v>-27688.52</v>
      </c>
      <c r="S216" s="1">
        <v>26031.84</v>
      </c>
      <c r="T216" s="1">
        <v>14108.45</v>
      </c>
      <c r="U216" s="1">
        <v>681.14</v>
      </c>
      <c r="V216" s="1">
        <v>-16441.87</v>
      </c>
      <c r="AA216" s="1">
        <v>33260.639999999999</v>
      </c>
      <c r="AB216" s="1">
        <v>19825.09</v>
      </c>
      <c r="AC216" s="1">
        <v>1305.6300000000001</v>
      </c>
      <c r="AD216" s="1">
        <v>-14307.18</v>
      </c>
      <c r="AI216">
        <v>0</v>
      </c>
      <c r="AJ216">
        <v>-61.54</v>
      </c>
      <c r="AK216">
        <v>-89.8</v>
      </c>
    </row>
    <row r="217" spans="1:37" x14ac:dyDescent="0.2">
      <c r="A217" t="s">
        <v>365</v>
      </c>
      <c r="B217">
        <v>543017</v>
      </c>
      <c r="C217" s="1">
        <v>1587</v>
      </c>
      <c r="D217" s="1">
        <v>259331</v>
      </c>
      <c r="E217" t="s">
        <v>366</v>
      </c>
      <c r="G217" s="1">
        <v>610558.87</v>
      </c>
      <c r="H217" s="1">
        <v>285899.28000000003</v>
      </c>
      <c r="I217" s="1">
        <v>104154.68</v>
      </c>
      <c r="J217" s="1">
        <v>82239.850000000006</v>
      </c>
      <c r="K217" s="1">
        <v>656730.03</v>
      </c>
      <c r="L217" s="1">
        <v>213793.52</v>
      </c>
      <c r="M217" s="1">
        <v>100990.19</v>
      </c>
      <c r="N217" s="1">
        <v>51906</v>
      </c>
      <c r="S217" s="1">
        <v>554869.34</v>
      </c>
      <c r="T217" s="1">
        <v>309684.47999999998</v>
      </c>
      <c r="U217" s="1">
        <v>25023.61</v>
      </c>
      <c r="V217" s="1">
        <v>35810.639999999999</v>
      </c>
      <c r="W217" s="1">
        <v>641607.81000000006</v>
      </c>
      <c r="X217" s="1">
        <v>300027.71999999997</v>
      </c>
      <c r="Y217" s="1">
        <v>28119.23</v>
      </c>
      <c r="Z217" s="1">
        <v>23772.89</v>
      </c>
      <c r="AA217" s="1">
        <v>610558.87</v>
      </c>
      <c r="AB217" s="1">
        <v>285899.28000000003</v>
      </c>
      <c r="AC217" s="1">
        <v>25580.06</v>
      </c>
      <c r="AD217" s="1">
        <v>15616.45</v>
      </c>
      <c r="AE217" s="1">
        <v>640553.77</v>
      </c>
      <c r="AF217" s="1">
        <v>274272.88</v>
      </c>
      <c r="AG217" s="1">
        <v>26582.15</v>
      </c>
      <c r="AH217" s="1">
        <v>38417.050000000003</v>
      </c>
      <c r="AI217">
        <v>-3.17</v>
      </c>
      <c r="AJ217">
        <v>27.8</v>
      </c>
      <c r="AK217">
        <v>123.06</v>
      </c>
    </row>
    <row r="218" spans="1:37" x14ac:dyDescent="0.2">
      <c r="A218" t="s">
        <v>367</v>
      </c>
      <c r="B218">
        <v>522011</v>
      </c>
      <c r="C218" s="1">
        <v>2790</v>
      </c>
      <c r="D218" s="1">
        <v>671644</v>
      </c>
      <c r="E218" t="s">
        <v>368</v>
      </c>
      <c r="G218" s="1">
        <v>1166577</v>
      </c>
      <c r="H218" s="1">
        <v>528517</v>
      </c>
      <c r="I218" s="1">
        <v>1354047</v>
      </c>
      <c r="J218" s="1">
        <v>71464</v>
      </c>
      <c r="K218" s="1">
        <v>931569</v>
      </c>
      <c r="L218" s="1">
        <v>486652</v>
      </c>
      <c r="M218" s="1">
        <v>1123038</v>
      </c>
      <c r="N218" s="1">
        <v>46883</v>
      </c>
      <c r="S218" s="1">
        <v>1177126</v>
      </c>
      <c r="T218" s="1">
        <v>549300</v>
      </c>
      <c r="U218" s="1">
        <v>356098</v>
      </c>
      <c r="V218" s="1">
        <v>23266</v>
      </c>
      <c r="W218" s="1">
        <v>1237831</v>
      </c>
      <c r="X218" s="1">
        <v>557171</v>
      </c>
      <c r="Y218" s="1">
        <v>334228</v>
      </c>
      <c r="Z218" s="1">
        <v>12774</v>
      </c>
      <c r="AA218" s="1">
        <v>1166577</v>
      </c>
      <c r="AB218" s="1">
        <v>528517</v>
      </c>
      <c r="AC218" s="1">
        <v>315560</v>
      </c>
      <c r="AD218" s="1">
        <v>18042</v>
      </c>
      <c r="AE218" s="1">
        <v>1245271</v>
      </c>
      <c r="AF218" s="1">
        <v>542925</v>
      </c>
      <c r="AG218" s="1">
        <v>357584</v>
      </c>
      <c r="AH218" s="1">
        <v>15975</v>
      </c>
      <c r="AI218">
        <v>2.25</v>
      </c>
      <c r="AJ218">
        <v>6.15</v>
      </c>
      <c r="AK218">
        <v>39.69</v>
      </c>
    </row>
    <row r="219" spans="1:37" x14ac:dyDescent="0.2">
      <c r="A219" t="s">
        <v>369</v>
      </c>
      <c r="B219">
        <v>440016</v>
      </c>
      <c r="C219" s="1">
        <v>1100</v>
      </c>
      <c r="D219" s="1">
        <v>61453</v>
      </c>
      <c r="E219" t="s">
        <v>38</v>
      </c>
      <c r="G219" s="1">
        <v>277557</v>
      </c>
      <c r="H219" s="1">
        <v>71101</v>
      </c>
      <c r="I219" s="1">
        <v>277540</v>
      </c>
      <c r="J219" s="1">
        <v>-1439</v>
      </c>
      <c r="K219" s="1">
        <v>246624</v>
      </c>
      <c r="L219" s="1">
        <v>72912</v>
      </c>
      <c r="M219" s="1">
        <v>234886</v>
      </c>
      <c r="N219" s="1">
        <v>521</v>
      </c>
      <c r="S219" s="1">
        <v>274823</v>
      </c>
      <c r="T219" s="1">
        <v>72606</v>
      </c>
      <c r="U219" s="1">
        <v>158565</v>
      </c>
      <c r="V219" s="1">
        <v>416</v>
      </c>
      <c r="AA219" s="1">
        <v>277557</v>
      </c>
      <c r="AB219" s="1">
        <v>71101</v>
      </c>
      <c r="AC219" s="1">
        <v>151456</v>
      </c>
      <c r="AD219" s="1">
        <v>-3690</v>
      </c>
      <c r="AI219">
        <v>-13.59</v>
      </c>
      <c r="AJ219">
        <v>-7.8</v>
      </c>
      <c r="AK219">
        <v>-25.32</v>
      </c>
    </row>
    <row r="220" spans="1:37" x14ac:dyDescent="0.2">
      <c r="A220" t="s">
        <v>370</v>
      </c>
      <c r="B220">
        <v>1147685</v>
      </c>
      <c r="C220" s="1">
        <v>1926</v>
      </c>
      <c r="D220" s="1">
        <v>385762</v>
      </c>
      <c r="E220" t="s">
        <v>371</v>
      </c>
      <c r="G220" s="1">
        <v>1007787</v>
      </c>
      <c r="H220" s="1">
        <v>541729</v>
      </c>
      <c r="I220" s="1">
        <v>485335</v>
      </c>
      <c r="J220" s="1">
        <v>20880</v>
      </c>
      <c r="K220" s="1">
        <v>910105</v>
      </c>
      <c r="L220" s="1">
        <v>475936</v>
      </c>
      <c r="M220" s="1">
        <v>325712</v>
      </c>
      <c r="N220" s="1">
        <v>29797</v>
      </c>
      <c r="S220" s="1">
        <v>1012689</v>
      </c>
      <c r="T220" s="1">
        <v>546413</v>
      </c>
      <c r="U220" s="1">
        <v>110052</v>
      </c>
      <c r="V220" s="1">
        <v>-2875</v>
      </c>
      <c r="W220" s="1">
        <v>1002182</v>
      </c>
      <c r="X220" s="1">
        <v>548939</v>
      </c>
      <c r="Y220" s="1">
        <v>123170</v>
      </c>
      <c r="Z220" s="1">
        <v>6858</v>
      </c>
      <c r="AA220" s="1">
        <v>1007787</v>
      </c>
      <c r="AB220" s="1">
        <v>541729</v>
      </c>
      <c r="AC220" s="1">
        <v>88178</v>
      </c>
      <c r="AD220" s="1">
        <v>-5219</v>
      </c>
      <c r="AE220" s="1">
        <v>1026182</v>
      </c>
      <c r="AF220" s="1">
        <v>546333</v>
      </c>
      <c r="AG220" s="1">
        <v>143048</v>
      </c>
      <c r="AH220" s="1">
        <v>13134</v>
      </c>
      <c r="AI220">
        <v>-4.45</v>
      </c>
      <c r="AJ220">
        <v>-8.27</v>
      </c>
      <c r="AK220">
        <v>-20.98</v>
      </c>
    </row>
    <row r="221" spans="1:37" x14ac:dyDescent="0.2">
      <c r="A221" t="s">
        <v>372</v>
      </c>
      <c r="B221">
        <v>136010</v>
      </c>
      <c r="C221" s="1">
        <v>696.1</v>
      </c>
      <c r="D221" s="1">
        <v>1878124</v>
      </c>
      <c r="E221" t="s">
        <v>373</v>
      </c>
      <c r="G221" s="1">
        <v>2491459</v>
      </c>
      <c r="H221" s="1">
        <v>1198705</v>
      </c>
      <c r="I221" s="1">
        <v>423602</v>
      </c>
      <c r="J221" s="1">
        <v>155960</v>
      </c>
      <c r="K221" s="1">
        <v>2134946</v>
      </c>
      <c r="L221" s="1">
        <v>1079970</v>
      </c>
      <c r="M221" s="1">
        <v>387828</v>
      </c>
      <c r="N221" s="1">
        <v>96417</v>
      </c>
      <c r="O221" s="1">
        <v>2454730</v>
      </c>
      <c r="P221" s="1">
        <v>1343523</v>
      </c>
      <c r="Q221" s="1">
        <v>266919</v>
      </c>
      <c r="R221" s="1">
        <v>118939</v>
      </c>
      <c r="S221" s="1">
        <v>2572810</v>
      </c>
      <c r="T221" s="1">
        <v>1243009</v>
      </c>
      <c r="U221" s="1">
        <v>135271</v>
      </c>
      <c r="V221" s="1">
        <v>43430</v>
      </c>
      <c r="W221" s="1">
        <v>2549054</v>
      </c>
      <c r="X221" s="1">
        <v>1216925</v>
      </c>
      <c r="Y221" s="1">
        <v>122529</v>
      </c>
      <c r="Z221" s="1">
        <v>12164</v>
      </c>
      <c r="AA221" s="1">
        <v>2491459</v>
      </c>
      <c r="AB221" s="1">
        <v>1198705</v>
      </c>
      <c r="AC221" s="1">
        <v>105219</v>
      </c>
      <c r="AD221" s="1">
        <v>59223</v>
      </c>
      <c r="AE221" s="1">
        <v>2394358</v>
      </c>
      <c r="AF221" s="1">
        <v>1185073</v>
      </c>
      <c r="AG221" s="1">
        <v>111498</v>
      </c>
      <c r="AH221" s="1">
        <v>30131</v>
      </c>
      <c r="AI221">
        <v>15.86</v>
      </c>
      <c r="AJ221">
        <v>57.27</v>
      </c>
      <c r="AK221">
        <v>114.88</v>
      </c>
    </row>
    <row r="222" spans="1:37" x14ac:dyDescent="0.2">
      <c r="A222" t="s">
        <v>374</v>
      </c>
      <c r="B222">
        <v>753012</v>
      </c>
      <c r="C222" s="1">
        <v>2156</v>
      </c>
      <c r="D222" s="1">
        <v>87903</v>
      </c>
      <c r="E222" t="s">
        <v>375</v>
      </c>
      <c r="G222" s="1">
        <v>510446</v>
      </c>
      <c r="H222" s="1">
        <v>232398</v>
      </c>
      <c r="I222" s="1">
        <v>30479</v>
      </c>
      <c r="J222" s="1">
        <v>5306</v>
      </c>
      <c r="K222" s="1">
        <v>486570</v>
      </c>
      <c r="L222" s="1">
        <v>226692</v>
      </c>
      <c r="M222" s="1">
        <v>24486</v>
      </c>
      <c r="N222" s="1">
        <v>8811</v>
      </c>
      <c r="S222" s="1">
        <v>491592</v>
      </c>
      <c r="T222" s="1">
        <v>227174</v>
      </c>
      <c r="U222" s="1">
        <v>16855</v>
      </c>
      <c r="V222" s="1">
        <v>1918</v>
      </c>
      <c r="AA222" s="1">
        <v>510446</v>
      </c>
      <c r="AB222" s="1">
        <v>232398</v>
      </c>
      <c r="AC222" s="1">
        <v>15741</v>
      </c>
      <c r="AD222" s="1">
        <v>3872</v>
      </c>
      <c r="AI222">
        <v>-4.3899999999999997</v>
      </c>
      <c r="AJ222">
        <v>-16.04</v>
      </c>
      <c r="AK222">
        <v>-28.18</v>
      </c>
    </row>
    <row r="223" spans="1:37" x14ac:dyDescent="0.2">
      <c r="A223" t="s">
        <v>376</v>
      </c>
      <c r="B223">
        <v>1081439</v>
      </c>
      <c r="C223" s="1">
        <v>1450</v>
      </c>
      <c r="D223" s="1">
        <v>167108</v>
      </c>
      <c r="E223" t="s">
        <v>377</v>
      </c>
      <c r="G223" s="1">
        <v>487357</v>
      </c>
      <c r="H223" s="1">
        <v>128327</v>
      </c>
      <c r="I223" s="1">
        <v>446783</v>
      </c>
      <c r="J223" s="1">
        <v>27496</v>
      </c>
      <c r="K223" s="1">
        <v>433652</v>
      </c>
      <c r="L223" s="1">
        <v>128719</v>
      </c>
      <c r="M223" s="1">
        <v>625485</v>
      </c>
      <c r="N223" s="1">
        <v>27476</v>
      </c>
      <c r="O223" s="1">
        <v>269200</v>
      </c>
      <c r="P223" s="1">
        <v>77483</v>
      </c>
      <c r="Q223" s="1">
        <v>329281</v>
      </c>
      <c r="R223" s="1">
        <v>10221</v>
      </c>
      <c r="S223" s="1">
        <v>493980</v>
      </c>
      <c r="T223" s="1">
        <v>138333</v>
      </c>
      <c r="U223" s="1">
        <v>113616</v>
      </c>
      <c r="V223" s="1">
        <v>4444</v>
      </c>
      <c r="W223" s="1">
        <v>515039</v>
      </c>
      <c r="X223" s="1">
        <v>134775</v>
      </c>
      <c r="Y223" s="1">
        <v>112698</v>
      </c>
      <c r="Z223" s="1">
        <v>4230</v>
      </c>
      <c r="AA223" s="1">
        <v>487357</v>
      </c>
      <c r="AB223" s="1">
        <v>128327</v>
      </c>
      <c r="AC223" s="1">
        <v>61064</v>
      </c>
      <c r="AD223" s="1">
        <v>8480</v>
      </c>
      <c r="AE223" s="1">
        <v>460344</v>
      </c>
      <c r="AF223" s="1">
        <v>121441</v>
      </c>
      <c r="AG223" s="1">
        <v>160617</v>
      </c>
      <c r="AH223" s="1">
        <v>6173</v>
      </c>
      <c r="AI223">
        <v>11.26</v>
      </c>
      <c r="AJ223">
        <v>22.33</v>
      </c>
      <c r="AK223">
        <v>93.63</v>
      </c>
    </row>
    <row r="224" spans="1:37" x14ac:dyDescent="0.2">
      <c r="A224" t="s">
        <v>378</v>
      </c>
      <c r="B224">
        <v>1226992</v>
      </c>
      <c r="C224" s="1">
        <v>589.1</v>
      </c>
      <c r="D224" s="1">
        <v>67892</v>
      </c>
      <c r="E224" t="s">
        <v>236</v>
      </c>
    </row>
    <row r="225" spans="1:37" x14ac:dyDescent="0.2">
      <c r="A225" t="s">
        <v>379</v>
      </c>
      <c r="B225">
        <v>473017</v>
      </c>
      <c r="C225" s="1">
        <v>373</v>
      </c>
      <c r="D225" s="1">
        <v>1531370</v>
      </c>
      <c r="E225" t="s">
        <v>380</v>
      </c>
      <c r="G225" s="1">
        <v>2545726</v>
      </c>
      <c r="H225" s="1">
        <v>608000</v>
      </c>
      <c r="I225" s="1">
        <v>843020</v>
      </c>
      <c r="J225" s="1">
        <v>2208</v>
      </c>
      <c r="K225" s="1">
        <v>2205765</v>
      </c>
      <c r="L225" s="1">
        <v>571048</v>
      </c>
      <c r="M225" s="1">
        <v>897352</v>
      </c>
      <c r="N225" s="1">
        <v>106097</v>
      </c>
      <c r="S225" s="1">
        <v>3470932</v>
      </c>
      <c r="T225" s="1">
        <v>655640</v>
      </c>
      <c r="U225" s="1">
        <v>182403</v>
      </c>
      <c r="V225" s="1">
        <v>-2654</v>
      </c>
      <c r="W225" s="1">
        <v>2583036</v>
      </c>
      <c r="X225" s="1">
        <v>670220</v>
      </c>
      <c r="Y225" s="1">
        <v>290825</v>
      </c>
      <c r="Z225" s="1">
        <v>18608</v>
      </c>
      <c r="AA225" s="1">
        <v>2545726</v>
      </c>
      <c r="AB225" s="1">
        <v>608000</v>
      </c>
      <c r="AC225" s="1">
        <v>242100</v>
      </c>
      <c r="AD225" s="1">
        <v>23228</v>
      </c>
      <c r="AE225" s="1">
        <v>2402184</v>
      </c>
      <c r="AF225" s="1">
        <v>529385</v>
      </c>
      <c r="AG225" s="1">
        <v>163784</v>
      </c>
      <c r="AH225" s="1">
        <v>-7961</v>
      </c>
      <c r="AI225">
        <v>31.53</v>
      </c>
      <c r="AJ225">
        <v>36.17</v>
      </c>
      <c r="AK225">
        <v>173.37</v>
      </c>
    </row>
    <row r="226" spans="1:37" x14ac:dyDescent="0.2">
      <c r="A226" t="s">
        <v>381</v>
      </c>
      <c r="B226">
        <v>1202597</v>
      </c>
      <c r="C226" s="1">
        <v>2487</v>
      </c>
      <c r="D226" s="1">
        <v>1565319</v>
      </c>
      <c r="E226" t="s">
        <v>382</v>
      </c>
      <c r="G226" s="1">
        <v>1849270</v>
      </c>
      <c r="H226" s="1">
        <v>911470</v>
      </c>
      <c r="I226" s="1">
        <v>358747</v>
      </c>
      <c r="J226" s="1">
        <v>34312</v>
      </c>
      <c r="K226" s="1">
        <v>1568670</v>
      </c>
      <c r="L226" s="1">
        <v>561853</v>
      </c>
      <c r="M226" s="1">
        <v>352904</v>
      </c>
      <c r="N226" s="1">
        <v>156592</v>
      </c>
      <c r="O226" s="1">
        <v>2896008</v>
      </c>
      <c r="P226" s="1">
        <v>956746</v>
      </c>
      <c r="Q226" s="1">
        <v>54940</v>
      </c>
      <c r="R226" s="1">
        <v>5484</v>
      </c>
      <c r="S226" s="1">
        <v>2739584</v>
      </c>
      <c r="T226" s="1">
        <v>980714</v>
      </c>
      <c r="U226" s="1">
        <v>67715</v>
      </c>
      <c r="V226" s="1">
        <v>9743</v>
      </c>
      <c r="W226" s="1">
        <v>1892715</v>
      </c>
      <c r="X226" s="1">
        <v>987635</v>
      </c>
      <c r="Y226" s="1">
        <v>171851</v>
      </c>
      <c r="Z226" s="1">
        <v>35433</v>
      </c>
      <c r="AA226" s="1">
        <v>1849270</v>
      </c>
      <c r="AB226" s="1">
        <v>911470</v>
      </c>
      <c r="AC226" s="1">
        <v>102489</v>
      </c>
      <c r="AD226" s="1">
        <v>16125</v>
      </c>
      <c r="AE226" s="1">
        <v>1762753</v>
      </c>
      <c r="AF226" s="1">
        <v>581260</v>
      </c>
      <c r="AG226" s="1">
        <v>37719</v>
      </c>
      <c r="AH226" s="1">
        <v>-15125</v>
      </c>
      <c r="AI226">
        <v>7.05</v>
      </c>
      <c r="AJ226">
        <v>16.260000000000002</v>
      </c>
      <c r="AK226">
        <v>0</v>
      </c>
    </row>
    <row r="227" spans="1:37" x14ac:dyDescent="0.2">
      <c r="A227" t="s">
        <v>383</v>
      </c>
      <c r="B227">
        <v>200014</v>
      </c>
      <c r="C227" s="1">
        <v>471.3</v>
      </c>
      <c r="D227" s="1">
        <v>156636</v>
      </c>
      <c r="E227" t="s">
        <v>38</v>
      </c>
      <c r="G227" s="1">
        <v>194368</v>
      </c>
      <c r="H227" s="1">
        <v>33352</v>
      </c>
      <c r="I227" s="1">
        <v>27768</v>
      </c>
      <c r="J227" s="1">
        <v>2647</v>
      </c>
      <c r="K227" s="1">
        <v>211946</v>
      </c>
      <c r="L227" s="1">
        <v>30655</v>
      </c>
      <c r="M227" s="1">
        <v>11633</v>
      </c>
      <c r="N227" s="1">
        <v>-12997</v>
      </c>
      <c r="O227" s="1">
        <v>270087</v>
      </c>
      <c r="P227" s="1">
        <v>51589</v>
      </c>
      <c r="Q227" s="1">
        <v>5978</v>
      </c>
      <c r="R227" s="1">
        <v>-2444</v>
      </c>
      <c r="S227" s="1">
        <v>220558</v>
      </c>
      <c r="T227" s="1">
        <v>49780</v>
      </c>
      <c r="U227" s="1">
        <v>4879</v>
      </c>
      <c r="V227" s="1">
        <v>-2144</v>
      </c>
      <c r="W227" s="1">
        <v>200286</v>
      </c>
      <c r="X227" s="1">
        <v>32204</v>
      </c>
      <c r="Y227" s="1">
        <v>15151</v>
      </c>
      <c r="Z227" s="1">
        <v>-1271</v>
      </c>
      <c r="AA227" s="1">
        <v>194368</v>
      </c>
      <c r="AB227" s="1">
        <v>33352</v>
      </c>
      <c r="AC227" s="1">
        <v>7805</v>
      </c>
      <c r="AD227" s="1">
        <v>3213</v>
      </c>
      <c r="AE227" s="1">
        <v>212079</v>
      </c>
      <c r="AF227" s="1">
        <v>30139</v>
      </c>
      <c r="AG227" s="1">
        <v>9785</v>
      </c>
      <c r="AH227" s="1">
        <v>-2001</v>
      </c>
      <c r="AI227">
        <v>-7.32</v>
      </c>
      <c r="AJ227">
        <v>61.02</v>
      </c>
      <c r="AK227">
        <v>-25.09</v>
      </c>
    </row>
    <row r="228" spans="1:37" x14ac:dyDescent="0.2">
      <c r="A228" t="s">
        <v>384</v>
      </c>
      <c r="B228">
        <v>573014</v>
      </c>
      <c r="C228" s="1">
        <v>50480</v>
      </c>
      <c r="D228" s="1">
        <v>2310525</v>
      </c>
      <c r="E228" t="s">
        <v>38</v>
      </c>
      <c r="G228" s="1">
        <v>3756814</v>
      </c>
      <c r="H228" s="1">
        <v>1252952</v>
      </c>
      <c r="I228" s="1">
        <v>630912</v>
      </c>
      <c r="J228" s="1">
        <v>30979</v>
      </c>
      <c r="K228" s="1">
        <v>3709543</v>
      </c>
      <c r="L228" s="1">
        <v>1217007</v>
      </c>
      <c r="M228" s="1">
        <v>615344</v>
      </c>
      <c r="N228" s="1">
        <v>59287</v>
      </c>
      <c r="O228" s="1">
        <v>3866104</v>
      </c>
      <c r="P228" s="1">
        <v>1621325</v>
      </c>
      <c r="Q228" s="1">
        <v>123019</v>
      </c>
      <c r="R228" s="1">
        <v>5333</v>
      </c>
      <c r="S228" s="1">
        <v>3820729</v>
      </c>
      <c r="T228" s="1">
        <v>1625350</v>
      </c>
      <c r="U228" s="1">
        <v>111716</v>
      </c>
      <c r="V228" s="1">
        <v>-12084</v>
      </c>
      <c r="W228" s="1">
        <v>3862506</v>
      </c>
      <c r="X228" s="1">
        <v>1637937</v>
      </c>
      <c r="Y228" s="1">
        <v>162740</v>
      </c>
      <c r="Z228" s="1">
        <v>16214</v>
      </c>
      <c r="AA228" s="1">
        <v>3756814</v>
      </c>
      <c r="AB228" s="1">
        <v>1252952</v>
      </c>
      <c r="AC228" s="1">
        <v>153685</v>
      </c>
      <c r="AD228" s="1">
        <v>-11089</v>
      </c>
      <c r="AE228" s="1">
        <v>3775482</v>
      </c>
      <c r="AF228" s="1">
        <v>1242596</v>
      </c>
      <c r="AG228" s="1">
        <v>175024</v>
      </c>
      <c r="AH228" s="1">
        <v>13883</v>
      </c>
      <c r="AI228">
        <v>8.52</v>
      </c>
      <c r="AJ228">
        <v>38.229999999999997</v>
      </c>
      <c r="AK228">
        <v>70.14</v>
      </c>
    </row>
    <row r="229" spans="1:37" x14ac:dyDescent="0.2">
      <c r="A229" t="s">
        <v>385</v>
      </c>
      <c r="B229">
        <v>584011</v>
      </c>
      <c r="C229" s="1">
        <v>1647</v>
      </c>
      <c r="D229" s="1">
        <v>170712</v>
      </c>
      <c r="E229" t="s">
        <v>386</v>
      </c>
      <c r="G229" s="1">
        <v>264022</v>
      </c>
      <c r="H229" s="1">
        <v>-17861</v>
      </c>
      <c r="I229" s="1">
        <v>38308</v>
      </c>
      <c r="J229" s="1">
        <v>-566</v>
      </c>
      <c r="K229" s="1">
        <v>295047</v>
      </c>
      <c r="L229" s="1">
        <v>-17292</v>
      </c>
      <c r="M229" s="1">
        <v>41662</v>
      </c>
      <c r="N229" s="1">
        <v>-18836</v>
      </c>
      <c r="S229" s="1">
        <v>109871</v>
      </c>
      <c r="T229" s="1">
        <v>6523</v>
      </c>
      <c r="U229" s="1">
        <v>22401</v>
      </c>
      <c r="V229" s="1">
        <v>24392</v>
      </c>
      <c r="AA229" s="1">
        <v>264022</v>
      </c>
      <c r="AB229" s="1">
        <v>-17861</v>
      </c>
      <c r="AC229" s="1">
        <v>17592</v>
      </c>
      <c r="AD229" s="1">
        <v>-2796</v>
      </c>
      <c r="AI229">
        <v>1.27</v>
      </c>
      <c r="AJ229">
        <v>38.24</v>
      </c>
      <c r="AK229">
        <v>-20.77</v>
      </c>
    </row>
    <row r="230" spans="1:37" x14ac:dyDescent="0.2">
      <c r="A230" t="s">
        <v>387</v>
      </c>
      <c r="B230">
        <v>1176981</v>
      </c>
      <c r="C230" s="1">
        <v>1783</v>
      </c>
      <c r="D230" s="1">
        <v>807205</v>
      </c>
      <c r="E230" t="s">
        <v>388</v>
      </c>
      <c r="G230" s="1">
        <v>990767</v>
      </c>
      <c r="H230" s="1">
        <v>108633</v>
      </c>
      <c r="J230" s="1">
        <v>50987</v>
      </c>
      <c r="K230" s="1">
        <v>1057390</v>
      </c>
      <c r="L230" s="1">
        <v>69283</v>
      </c>
      <c r="N230" s="1">
        <v>9158</v>
      </c>
      <c r="S230" s="1">
        <v>1099397</v>
      </c>
      <c r="T230" s="1">
        <v>148112</v>
      </c>
      <c r="V230" s="1">
        <v>23011</v>
      </c>
      <c r="W230" s="1">
        <v>1043634</v>
      </c>
      <c r="X230" s="1">
        <v>125101</v>
      </c>
      <c r="Z230" s="1">
        <v>16468</v>
      </c>
      <c r="AA230" s="1">
        <v>990767</v>
      </c>
      <c r="AB230" s="1">
        <v>108633</v>
      </c>
      <c r="AD230" s="1">
        <v>13592</v>
      </c>
      <c r="AE230" s="1">
        <v>1319049</v>
      </c>
      <c r="AF230" s="1">
        <v>104898</v>
      </c>
      <c r="AH230" s="1">
        <v>11148</v>
      </c>
      <c r="AI230">
        <v>3.97</v>
      </c>
      <c r="AJ230">
        <v>113.11</v>
      </c>
      <c r="AK230">
        <v>390.57</v>
      </c>
    </row>
    <row r="231" spans="1:37" x14ac:dyDescent="0.2">
      <c r="A231" t="s">
        <v>389</v>
      </c>
      <c r="B231">
        <v>1123017</v>
      </c>
      <c r="C231" s="1">
        <v>1583</v>
      </c>
      <c r="D231" s="1">
        <v>180510</v>
      </c>
      <c r="E231" t="s">
        <v>38</v>
      </c>
      <c r="G231" s="1">
        <v>2216566.41</v>
      </c>
      <c r="H231" s="1">
        <v>-245501.46</v>
      </c>
      <c r="I231" s="1">
        <v>1139592.7</v>
      </c>
      <c r="J231" s="1">
        <v>-489693.64</v>
      </c>
      <c r="K231" s="1">
        <v>3030405.73</v>
      </c>
      <c r="L231" s="1">
        <v>174596.53</v>
      </c>
      <c r="M231" s="1">
        <v>1457992.38</v>
      </c>
      <c r="N231" s="1">
        <v>-364277.75</v>
      </c>
      <c r="O231" s="1">
        <v>1690850.39</v>
      </c>
      <c r="P231" s="1">
        <v>-4582.12</v>
      </c>
      <c r="Q231" s="1">
        <v>198869.12</v>
      </c>
      <c r="R231" s="1">
        <v>28798.57</v>
      </c>
      <c r="S231" s="1">
        <v>2040198.24</v>
      </c>
      <c r="T231" s="1">
        <v>-277893.26</v>
      </c>
      <c r="U231" s="1">
        <v>200971.2</v>
      </c>
      <c r="V231" s="1">
        <v>-52974.12</v>
      </c>
      <c r="W231" s="1">
        <v>2216745.92</v>
      </c>
      <c r="X231" s="1">
        <v>-278641.78999999998</v>
      </c>
      <c r="Y231" s="1">
        <v>240554.6</v>
      </c>
      <c r="Z231" s="1">
        <v>-52546.49</v>
      </c>
      <c r="AA231" s="1">
        <v>2216566.41</v>
      </c>
      <c r="AB231" s="1">
        <v>-245501.46</v>
      </c>
      <c r="AC231" s="1">
        <v>266982.28999999998</v>
      </c>
      <c r="AD231" s="1">
        <v>-408930.82</v>
      </c>
      <c r="AE231" s="1">
        <v>2567416.4900000002</v>
      </c>
      <c r="AF231" s="1">
        <v>170311.26</v>
      </c>
      <c r="AG231" s="1">
        <v>275445.24</v>
      </c>
      <c r="AH231" s="1">
        <v>-105026.39</v>
      </c>
      <c r="AI231">
        <v>-70.86</v>
      </c>
      <c r="AJ231">
        <v>-70</v>
      </c>
      <c r="AK231">
        <v>-97.18</v>
      </c>
    </row>
    <row r="232" spans="1:37" x14ac:dyDescent="0.2">
      <c r="A232" t="s">
        <v>390</v>
      </c>
      <c r="B232">
        <v>1136365</v>
      </c>
      <c r="C232" s="1">
        <v>560</v>
      </c>
      <c r="D232" s="1">
        <v>1057489</v>
      </c>
      <c r="E232" t="s">
        <v>38</v>
      </c>
      <c r="G232" s="1">
        <v>412906.05</v>
      </c>
      <c r="H232" s="1">
        <v>285855.51</v>
      </c>
      <c r="I232" s="1">
        <v>34642.85</v>
      </c>
      <c r="J232" s="1">
        <v>-67867.02</v>
      </c>
      <c r="K232" s="1">
        <v>366395.92</v>
      </c>
      <c r="L232" s="1">
        <v>230020.72</v>
      </c>
      <c r="M232" s="1">
        <v>32443.52</v>
      </c>
      <c r="N232" s="1">
        <v>-77929.72</v>
      </c>
      <c r="O232" s="1">
        <v>296346.53000000003</v>
      </c>
      <c r="P232" s="1">
        <v>72864.240000000005</v>
      </c>
      <c r="Q232" s="1">
        <v>12169.39</v>
      </c>
      <c r="R232" s="1">
        <v>-98455.99</v>
      </c>
      <c r="S232" s="1">
        <v>306174.23</v>
      </c>
      <c r="T232" s="1">
        <v>163154.22</v>
      </c>
      <c r="U232" s="1">
        <v>9323.58</v>
      </c>
      <c r="V232" s="1">
        <v>-102724.61</v>
      </c>
      <c r="W232" s="1">
        <v>415497.65</v>
      </c>
      <c r="X232" s="1">
        <v>293826.09999999998</v>
      </c>
      <c r="Y232" s="1">
        <v>5584.44</v>
      </c>
      <c r="Z232" s="1">
        <v>-15388.8</v>
      </c>
      <c r="AA232" s="1">
        <v>412906.05</v>
      </c>
      <c r="AB232" s="1">
        <v>285855.51</v>
      </c>
      <c r="AC232" s="1">
        <v>10459.6</v>
      </c>
      <c r="AD232" s="1">
        <v>-11936.63</v>
      </c>
      <c r="AE232" s="1">
        <v>358363.74</v>
      </c>
      <c r="AF232" s="1">
        <v>245550.06</v>
      </c>
      <c r="AG232" s="1">
        <v>14020.09</v>
      </c>
      <c r="AH232" s="1">
        <v>-11256.14</v>
      </c>
      <c r="AI232">
        <v>35.479999999999997</v>
      </c>
      <c r="AJ232">
        <v>158.13999999999999</v>
      </c>
      <c r="AK232">
        <v>12.22</v>
      </c>
    </row>
    <row r="233" spans="1:37" x14ac:dyDescent="0.2">
      <c r="A233" t="s">
        <v>391</v>
      </c>
      <c r="B233">
        <v>826016</v>
      </c>
      <c r="C233" s="1">
        <v>1323</v>
      </c>
      <c r="D233" s="1">
        <v>110723</v>
      </c>
      <c r="E233" t="s">
        <v>392</v>
      </c>
      <c r="G233" s="1">
        <v>115068</v>
      </c>
      <c r="H233" s="1">
        <v>67307</v>
      </c>
      <c r="I233" s="1">
        <v>168569</v>
      </c>
      <c r="J233" s="1">
        <v>14355</v>
      </c>
      <c r="K233" s="1">
        <v>120456</v>
      </c>
      <c r="L233" s="1">
        <v>60806</v>
      </c>
      <c r="M233" s="1">
        <v>184052</v>
      </c>
      <c r="N233" s="1">
        <v>15291</v>
      </c>
      <c r="S233" s="1">
        <v>114173</v>
      </c>
      <c r="T233" s="1">
        <v>67981</v>
      </c>
      <c r="U233" s="1">
        <v>73230</v>
      </c>
      <c r="V233" s="1">
        <v>5022</v>
      </c>
      <c r="AA233" s="1">
        <v>115068</v>
      </c>
      <c r="AB233" s="1">
        <v>67307</v>
      </c>
      <c r="AC233" s="1">
        <v>83511</v>
      </c>
      <c r="AD233" s="1">
        <v>5108</v>
      </c>
      <c r="AI233">
        <v>-6.94</v>
      </c>
      <c r="AJ233">
        <v>-37.799999999999997</v>
      </c>
      <c r="AK233">
        <v>33.67</v>
      </c>
    </row>
    <row r="234" spans="1:37" x14ac:dyDescent="0.2">
      <c r="A234" t="s">
        <v>393</v>
      </c>
      <c r="B234">
        <v>1140946</v>
      </c>
      <c r="C234" s="1">
        <v>378.4</v>
      </c>
      <c r="D234" s="1">
        <v>192770</v>
      </c>
      <c r="E234" t="s">
        <v>38</v>
      </c>
      <c r="G234" s="1">
        <v>678993</v>
      </c>
      <c r="H234" s="1">
        <v>223512</v>
      </c>
      <c r="I234" s="1">
        <v>1042663</v>
      </c>
      <c r="J234" s="1">
        <v>19445</v>
      </c>
      <c r="K234" s="1">
        <v>613500</v>
      </c>
      <c r="L234" s="1">
        <v>207432</v>
      </c>
      <c r="M234" s="1">
        <v>803696</v>
      </c>
      <c r="N234" s="1">
        <v>8947</v>
      </c>
      <c r="O234" s="1">
        <v>731037</v>
      </c>
      <c r="P234" s="1">
        <v>207724</v>
      </c>
      <c r="Q234" s="1">
        <v>210463</v>
      </c>
      <c r="R234" s="1">
        <v>4557</v>
      </c>
      <c r="S234" s="1">
        <v>709051</v>
      </c>
      <c r="T234" s="1">
        <v>204647</v>
      </c>
      <c r="U234" s="1">
        <v>220595</v>
      </c>
      <c r="V234" s="1">
        <v>-10457</v>
      </c>
      <c r="W234" s="1">
        <v>688533</v>
      </c>
      <c r="X234" s="1">
        <v>221364</v>
      </c>
      <c r="Y234" s="1">
        <v>243894</v>
      </c>
      <c r="Z234" s="1">
        <v>-3986</v>
      </c>
      <c r="AA234" s="1">
        <v>678993</v>
      </c>
      <c r="AB234" s="1">
        <v>223512</v>
      </c>
      <c r="AC234" s="1">
        <v>268028</v>
      </c>
      <c r="AD234" s="1">
        <v>3522</v>
      </c>
      <c r="AE234" s="1">
        <v>698544</v>
      </c>
      <c r="AF234" s="1">
        <v>221637</v>
      </c>
      <c r="AG234" s="1">
        <v>307747</v>
      </c>
      <c r="AH234" s="1">
        <v>11012</v>
      </c>
      <c r="AI234">
        <v>18.62</v>
      </c>
      <c r="AJ234">
        <v>20.03</v>
      </c>
      <c r="AK234">
        <v>21.36</v>
      </c>
    </row>
    <row r="235" spans="1:37" x14ac:dyDescent="0.2">
      <c r="A235" t="s">
        <v>394</v>
      </c>
      <c r="B235">
        <v>1091248</v>
      </c>
      <c r="C235" s="1">
        <v>130.69999999999999</v>
      </c>
      <c r="D235" s="1">
        <v>91645</v>
      </c>
      <c r="E235" t="s">
        <v>395</v>
      </c>
      <c r="G235" s="1">
        <v>133131</v>
      </c>
      <c r="H235" s="1">
        <v>126031</v>
      </c>
      <c r="J235" s="1">
        <v>4672</v>
      </c>
      <c r="K235" s="1">
        <v>127467</v>
      </c>
      <c r="L235" s="1">
        <v>122168</v>
      </c>
      <c r="N235" s="1">
        <v>-289</v>
      </c>
      <c r="S235" s="1">
        <v>133984</v>
      </c>
      <c r="T235" s="1">
        <v>127446</v>
      </c>
      <c r="V235" s="1">
        <v>1415</v>
      </c>
      <c r="AA235" s="1">
        <v>133131</v>
      </c>
      <c r="AB235" s="1">
        <v>126031</v>
      </c>
      <c r="AD235" s="1">
        <v>2806</v>
      </c>
      <c r="AI235">
        <v>14.25</v>
      </c>
      <c r="AJ235">
        <v>23.41</v>
      </c>
      <c r="AK235">
        <v>2.93</v>
      </c>
    </row>
    <row r="236" spans="1:37" x14ac:dyDescent="0.2">
      <c r="A236" t="s">
        <v>396</v>
      </c>
      <c r="B236">
        <v>1172972</v>
      </c>
      <c r="C236" s="1">
        <v>77.5</v>
      </c>
      <c r="D236" s="1">
        <v>26095</v>
      </c>
      <c r="E236" t="s">
        <v>38</v>
      </c>
      <c r="G236" s="1">
        <v>70470.98</v>
      </c>
      <c r="H236" s="1">
        <v>45000.33</v>
      </c>
      <c r="I236" s="1">
        <v>17837.48</v>
      </c>
      <c r="J236" s="1">
        <v>-58942.82</v>
      </c>
      <c r="K236" s="1">
        <v>117565.58</v>
      </c>
      <c r="L236" s="1">
        <v>85571.81</v>
      </c>
      <c r="M236" s="1">
        <v>45780</v>
      </c>
      <c r="N236" s="1">
        <v>-36919.230000000003</v>
      </c>
      <c r="S236" s="1">
        <v>54005.95</v>
      </c>
      <c r="T236" s="1">
        <v>30961.7</v>
      </c>
      <c r="U236" s="1">
        <v>10267.74</v>
      </c>
      <c r="V236" s="1">
        <v>-18111.009999999998</v>
      </c>
      <c r="AA236" s="1">
        <v>70470.98</v>
      </c>
      <c r="AB236" s="1">
        <v>45000.33</v>
      </c>
      <c r="AC236" s="1">
        <v>11079.59</v>
      </c>
      <c r="AD236" s="1">
        <v>-28534.13</v>
      </c>
      <c r="AI236">
        <v>-16.13</v>
      </c>
      <c r="AJ236">
        <v>-28.01</v>
      </c>
      <c r="AK236">
        <v>-89.96</v>
      </c>
    </row>
    <row r="237" spans="1:37" x14ac:dyDescent="0.2">
      <c r="A237" t="s">
        <v>397</v>
      </c>
      <c r="B237">
        <v>1131523</v>
      </c>
      <c r="C237" s="1">
        <v>1440</v>
      </c>
      <c r="D237" s="1">
        <v>2175466</v>
      </c>
      <c r="E237" t="s">
        <v>398</v>
      </c>
      <c r="G237" s="1">
        <v>6175202</v>
      </c>
      <c r="H237" s="1">
        <v>1487278</v>
      </c>
      <c r="I237" s="1">
        <v>252187</v>
      </c>
      <c r="J237" s="1">
        <v>267105</v>
      </c>
      <c r="K237" s="1">
        <v>5691750</v>
      </c>
      <c r="L237" s="1">
        <v>1299600</v>
      </c>
      <c r="M237" s="1">
        <v>240790</v>
      </c>
      <c r="N237" s="1">
        <v>220579</v>
      </c>
      <c r="O237" s="1">
        <v>7061625</v>
      </c>
      <c r="P237" s="1">
        <v>1514496</v>
      </c>
      <c r="Q237" s="1">
        <v>70246</v>
      </c>
      <c r="R237" s="1">
        <v>10756</v>
      </c>
      <c r="S237" s="1">
        <v>6597792</v>
      </c>
      <c r="T237" s="1">
        <v>1503732</v>
      </c>
      <c r="U237" s="1">
        <v>68231</v>
      </c>
      <c r="V237" s="1">
        <v>91780</v>
      </c>
      <c r="W237" s="1">
        <v>6221824</v>
      </c>
      <c r="X237" s="1">
        <v>1411938</v>
      </c>
      <c r="Y237" s="1">
        <v>66395</v>
      </c>
      <c r="Z237" s="1">
        <v>24412</v>
      </c>
      <c r="AA237" s="1">
        <v>6175202</v>
      </c>
      <c r="AB237" s="1">
        <v>1487278</v>
      </c>
      <c r="AC237" s="1">
        <v>65925</v>
      </c>
      <c r="AD237" s="1">
        <v>183990</v>
      </c>
      <c r="AE237" s="1">
        <v>5903525</v>
      </c>
      <c r="AF237" s="1">
        <v>1303258</v>
      </c>
      <c r="AG237" s="1">
        <v>63457</v>
      </c>
      <c r="AH237" s="1">
        <v>1528</v>
      </c>
      <c r="AI237">
        <v>14.95</v>
      </c>
      <c r="AJ237">
        <v>54.88</v>
      </c>
      <c r="AK237">
        <v>81.17</v>
      </c>
    </row>
    <row r="238" spans="1:37" x14ac:dyDescent="0.2">
      <c r="A238" t="s">
        <v>399</v>
      </c>
      <c r="B238">
        <v>1139195</v>
      </c>
      <c r="C238" s="1">
        <v>840.3</v>
      </c>
      <c r="D238" s="1">
        <v>1233575</v>
      </c>
      <c r="E238" t="s">
        <v>400</v>
      </c>
      <c r="G238" s="1">
        <v>4920525</v>
      </c>
      <c r="H238" s="1">
        <v>1722785</v>
      </c>
      <c r="I238" s="1">
        <v>75098</v>
      </c>
      <c r="J238" s="1">
        <v>148932</v>
      </c>
      <c r="K238" s="1">
        <v>4231140</v>
      </c>
      <c r="L238" s="1">
        <v>1521075</v>
      </c>
      <c r="M238" s="1">
        <v>59968</v>
      </c>
      <c r="N238" s="1">
        <v>51443</v>
      </c>
      <c r="S238" s="1">
        <v>5349990</v>
      </c>
      <c r="T238" s="1">
        <v>1747075</v>
      </c>
      <c r="U238" s="1">
        <v>19362</v>
      </c>
      <c r="V238" s="1">
        <v>26186</v>
      </c>
      <c r="W238" s="1">
        <v>5226189</v>
      </c>
      <c r="X238" s="1">
        <v>1741903</v>
      </c>
      <c r="Y238" s="1">
        <v>20013</v>
      </c>
      <c r="Z238" s="1">
        <v>18004</v>
      </c>
      <c r="AA238" s="1">
        <v>4920525</v>
      </c>
      <c r="AB238" s="1">
        <v>1722785</v>
      </c>
      <c r="AC238" s="1">
        <v>22451</v>
      </c>
      <c r="AD238" s="1">
        <v>22307</v>
      </c>
      <c r="AE238" s="1">
        <v>4850716</v>
      </c>
      <c r="AF238" s="1">
        <v>1699442</v>
      </c>
      <c r="AG238" s="1">
        <v>17724</v>
      </c>
      <c r="AH238" s="1">
        <v>28809</v>
      </c>
      <c r="AI238">
        <v>-2.4900000000000002</v>
      </c>
      <c r="AJ238">
        <v>61.66</v>
      </c>
      <c r="AK238">
        <v>48.02</v>
      </c>
    </row>
    <row r="239" spans="1:37" x14ac:dyDescent="0.2">
      <c r="A239" t="s">
        <v>401</v>
      </c>
      <c r="B239">
        <v>1216605</v>
      </c>
      <c r="C239" s="1">
        <v>804.9</v>
      </c>
      <c r="D239" s="1">
        <v>1047711</v>
      </c>
      <c r="E239" t="s">
        <v>402</v>
      </c>
      <c r="G239" s="1">
        <v>908680</v>
      </c>
      <c r="H239" s="1">
        <v>254862</v>
      </c>
      <c r="I239" s="1">
        <v>176453</v>
      </c>
      <c r="J239" s="1">
        <v>15348</v>
      </c>
      <c r="K239" s="1">
        <v>742607</v>
      </c>
      <c r="L239" s="1">
        <v>239514</v>
      </c>
      <c r="M239" s="1">
        <v>207649</v>
      </c>
      <c r="N239" s="1">
        <v>29879</v>
      </c>
      <c r="O239" s="1">
        <v>1299865</v>
      </c>
      <c r="P239" s="1">
        <v>478961</v>
      </c>
      <c r="Q239" s="1">
        <v>119770</v>
      </c>
      <c r="R239" s="1">
        <v>12419</v>
      </c>
      <c r="S239" s="1">
        <v>1133059</v>
      </c>
      <c r="T239" s="1">
        <v>288092</v>
      </c>
      <c r="U239" s="1">
        <v>77417</v>
      </c>
      <c r="V239" s="1">
        <v>7707</v>
      </c>
      <c r="W239" s="1">
        <v>1117883</v>
      </c>
      <c r="X239" s="1">
        <v>287708</v>
      </c>
      <c r="Y239" s="1">
        <v>50996</v>
      </c>
      <c r="Z239" s="1">
        <v>32846</v>
      </c>
      <c r="AA239" s="1">
        <v>908680</v>
      </c>
      <c r="AB239" s="1">
        <v>254862</v>
      </c>
      <c r="AC239" s="1">
        <v>70252</v>
      </c>
      <c r="AD239" s="1">
        <v>7924</v>
      </c>
      <c r="AE239" s="1">
        <v>764534</v>
      </c>
      <c r="AF239" s="1">
        <v>246938</v>
      </c>
      <c r="AG239" s="1">
        <v>44627</v>
      </c>
      <c r="AH239" s="1">
        <v>3463</v>
      </c>
      <c r="AI239">
        <v>15.15</v>
      </c>
      <c r="AJ239">
        <v>0</v>
      </c>
      <c r="AK239">
        <v>0</v>
      </c>
    </row>
    <row r="240" spans="1:37" x14ac:dyDescent="0.2">
      <c r="A240" t="s">
        <v>403</v>
      </c>
      <c r="B240">
        <v>1139955</v>
      </c>
      <c r="C240" s="1">
        <v>666.9</v>
      </c>
      <c r="D240" s="1">
        <v>341034</v>
      </c>
      <c r="E240" t="s">
        <v>404</v>
      </c>
      <c r="G240" s="1">
        <v>1518720.24</v>
      </c>
      <c r="H240" s="1">
        <v>486024.76</v>
      </c>
      <c r="I240" s="1">
        <v>142845.70000000001</v>
      </c>
      <c r="J240" s="1">
        <v>37133.75</v>
      </c>
      <c r="K240" s="1">
        <v>1510899.43</v>
      </c>
      <c r="L240" s="1">
        <v>448293.58</v>
      </c>
      <c r="M240" s="1">
        <v>140078.37</v>
      </c>
      <c r="N240" s="1">
        <v>29030.51</v>
      </c>
      <c r="O240" s="1">
        <v>1521123.66</v>
      </c>
      <c r="P240" s="1">
        <v>458581.87</v>
      </c>
      <c r="Q240" s="1">
        <v>34858.46</v>
      </c>
      <c r="R240" s="1">
        <v>6906.23</v>
      </c>
      <c r="S240" s="1">
        <v>1534664.63</v>
      </c>
      <c r="T240" s="1">
        <v>460507.29</v>
      </c>
      <c r="U240" s="1">
        <v>33787.440000000002</v>
      </c>
      <c r="V240" s="1">
        <v>2441.33</v>
      </c>
      <c r="W240" s="1">
        <v>1556380.8</v>
      </c>
      <c r="X240" s="1">
        <v>504569.77</v>
      </c>
      <c r="Y240" s="1">
        <v>35767.160000000003</v>
      </c>
      <c r="Z240" s="1">
        <v>8837.69</v>
      </c>
      <c r="AA240" s="1">
        <v>1518720.24</v>
      </c>
      <c r="AB240" s="1">
        <v>486024.76</v>
      </c>
      <c r="AC240" s="1">
        <v>37542.22</v>
      </c>
      <c r="AD240" s="1">
        <v>10590.89</v>
      </c>
      <c r="AE240" s="1">
        <v>1558125.82</v>
      </c>
      <c r="AF240" s="1">
        <v>485906.12</v>
      </c>
      <c r="AG240" s="1">
        <v>35805.21</v>
      </c>
      <c r="AH240" s="1">
        <v>8113.77</v>
      </c>
      <c r="AI240">
        <v>-4.7699999999999996</v>
      </c>
      <c r="AJ240">
        <v>8.67</v>
      </c>
      <c r="AK240">
        <v>9.7100000000000009</v>
      </c>
    </row>
    <row r="241" spans="1:37" x14ac:dyDescent="0.2">
      <c r="A241" t="s">
        <v>405</v>
      </c>
      <c r="B241">
        <v>1182898</v>
      </c>
      <c r="C241" s="1">
        <v>56.9</v>
      </c>
      <c r="D241" s="1">
        <v>8542</v>
      </c>
      <c r="E241" t="s">
        <v>38</v>
      </c>
      <c r="G241" s="1">
        <v>20284</v>
      </c>
      <c r="H241" s="1">
        <v>19929</v>
      </c>
      <c r="I241" s="1">
        <v>134</v>
      </c>
      <c r="J241" s="1">
        <v>-4876</v>
      </c>
      <c r="K241" s="1">
        <v>24960</v>
      </c>
      <c r="L241" s="1">
        <v>24618</v>
      </c>
      <c r="M241" s="1">
        <v>144</v>
      </c>
      <c r="N241" s="1">
        <v>-5070</v>
      </c>
      <c r="S241" s="1">
        <v>19960</v>
      </c>
      <c r="T241" s="1">
        <v>19477</v>
      </c>
      <c r="V241" s="1">
        <v>-532</v>
      </c>
      <c r="AA241" s="1">
        <v>20284</v>
      </c>
      <c r="AB241" s="1">
        <v>19929</v>
      </c>
      <c r="AC241" s="1">
        <v>57</v>
      </c>
      <c r="AD241" s="1">
        <v>-2329</v>
      </c>
      <c r="AI241">
        <v>15.53</v>
      </c>
      <c r="AJ241">
        <v>-20.47</v>
      </c>
      <c r="AK241">
        <v>-22.29</v>
      </c>
    </row>
    <row r="242" spans="1:37" x14ac:dyDescent="0.2">
      <c r="A242" t="s">
        <v>406</v>
      </c>
      <c r="B242">
        <v>686014</v>
      </c>
      <c r="C242" s="1">
        <v>29330</v>
      </c>
      <c r="D242" s="1">
        <v>1009641</v>
      </c>
      <c r="E242" t="s">
        <v>407</v>
      </c>
      <c r="G242" s="1">
        <v>1280396</v>
      </c>
      <c r="H242" s="1">
        <v>513282</v>
      </c>
      <c r="I242" s="1">
        <v>965331</v>
      </c>
      <c r="J242" s="1">
        <v>-73891</v>
      </c>
      <c r="K242" s="1">
        <v>1317962</v>
      </c>
      <c r="L242" s="1">
        <v>579458</v>
      </c>
      <c r="M242" s="1">
        <v>1133365</v>
      </c>
      <c r="N242" s="1">
        <v>-154802</v>
      </c>
      <c r="O242" s="1">
        <v>1288559</v>
      </c>
      <c r="P242" s="1">
        <v>550487</v>
      </c>
      <c r="Q242" s="1">
        <v>172461</v>
      </c>
      <c r="R242" s="1">
        <v>-12232</v>
      </c>
      <c r="S242" s="1">
        <v>1263240</v>
      </c>
      <c r="T242" s="1">
        <v>564456</v>
      </c>
      <c r="U242" s="1">
        <v>236718</v>
      </c>
      <c r="V242" s="1">
        <v>-299</v>
      </c>
      <c r="W242" s="1">
        <v>1373807</v>
      </c>
      <c r="X242" s="1">
        <v>566333</v>
      </c>
      <c r="Y242" s="1">
        <v>391722</v>
      </c>
      <c r="Z242" s="1">
        <v>43161</v>
      </c>
      <c r="AA242" s="1">
        <v>1280396</v>
      </c>
      <c r="AB242" s="1">
        <v>513282</v>
      </c>
      <c r="AC242" s="1">
        <v>247539</v>
      </c>
      <c r="AD242" s="1">
        <v>8635</v>
      </c>
      <c r="AE242" s="1">
        <v>1473405</v>
      </c>
      <c r="AF242" s="1">
        <v>509665</v>
      </c>
      <c r="AG242" s="1">
        <v>150952</v>
      </c>
      <c r="AH242" s="1">
        <v>-35853</v>
      </c>
      <c r="AI242">
        <v>-4.7300000000000004</v>
      </c>
      <c r="AJ242">
        <v>72.290000000000006</v>
      </c>
      <c r="AK242">
        <v>111.58</v>
      </c>
    </row>
    <row r="243" spans="1:37" x14ac:dyDescent="0.2">
      <c r="A243" t="s">
        <v>408</v>
      </c>
      <c r="B243">
        <v>345017</v>
      </c>
      <c r="C243" s="1">
        <v>84.4</v>
      </c>
      <c r="D243" s="1">
        <v>28947</v>
      </c>
      <c r="E243" t="s">
        <v>38</v>
      </c>
      <c r="G243" s="1">
        <v>391082.41</v>
      </c>
      <c r="H243" s="1">
        <v>143848.62</v>
      </c>
      <c r="I243" s="1">
        <v>89311.38</v>
      </c>
      <c r="J243" s="1">
        <v>-34467.800000000003</v>
      </c>
      <c r="K243" s="1">
        <v>384773.93</v>
      </c>
      <c r="L243" s="1">
        <v>144833.37</v>
      </c>
      <c r="M243" s="1">
        <v>98048.69</v>
      </c>
      <c r="N243" s="1">
        <v>7671.11</v>
      </c>
      <c r="O243" s="1">
        <v>407190.1</v>
      </c>
      <c r="P243" s="1">
        <v>113957.82</v>
      </c>
      <c r="Q243" s="1">
        <v>16744.89</v>
      </c>
      <c r="R243" s="1">
        <v>-8026.97</v>
      </c>
      <c r="S243" s="1">
        <v>399912.45</v>
      </c>
      <c r="T243" s="1">
        <v>124895.51</v>
      </c>
      <c r="U243" s="1">
        <v>18063.8</v>
      </c>
      <c r="V243" s="1">
        <v>-10395.879999999999</v>
      </c>
      <c r="W243" s="1">
        <v>469494.16</v>
      </c>
      <c r="X243" s="1">
        <v>148508.07</v>
      </c>
      <c r="Y243" s="1">
        <v>28338.6</v>
      </c>
      <c r="Z243" s="1">
        <v>1654.51</v>
      </c>
      <c r="AA243" s="1">
        <v>391082.41</v>
      </c>
      <c r="AB243" s="1">
        <v>143848.62</v>
      </c>
      <c r="AC243" s="1">
        <v>18566.88</v>
      </c>
      <c r="AD243" s="1">
        <v>-5893.55</v>
      </c>
      <c r="AE243" s="1">
        <v>408092.58</v>
      </c>
      <c r="AF243" s="1">
        <v>151928.21</v>
      </c>
      <c r="AG243" s="1">
        <v>21521.71</v>
      </c>
      <c r="AH243" s="1">
        <v>-17318.28</v>
      </c>
      <c r="AI243">
        <v>-35.159999999999997</v>
      </c>
      <c r="AJ243">
        <v>-42.18</v>
      </c>
      <c r="AK243">
        <v>-76.02</v>
      </c>
    </row>
    <row r="244" spans="1:37" x14ac:dyDescent="0.2">
      <c r="A244" t="s">
        <v>409</v>
      </c>
      <c r="B244">
        <v>1171669</v>
      </c>
      <c r="C244" s="1">
        <v>809.7</v>
      </c>
      <c r="D244" s="1">
        <v>213600</v>
      </c>
      <c r="E244" t="s">
        <v>410</v>
      </c>
      <c r="G244" s="1">
        <v>853939</v>
      </c>
      <c r="H244" s="1">
        <v>116049</v>
      </c>
      <c r="I244" s="1">
        <v>786102</v>
      </c>
      <c r="J244" s="1">
        <v>11405</v>
      </c>
      <c r="K244" s="1">
        <v>850876</v>
      </c>
      <c r="L244" s="1">
        <v>103926</v>
      </c>
      <c r="M244" s="1">
        <v>745209</v>
      </c>
      <c r="N244" s="1">
        <v>-44667</v>
      </c>
      <c r="O244" s="1">
        <v>792468</v>
      </c>
      <c r="P244" s="1">
        <v>120424</v>
      </c>
      <c r="Q244" s="1">
        <v>209858</v>
      </c>
      <c r="R244" s="1">
        <v>8729</v>
      </c>
      <c r="S244" s="1">
        <v>793587</v>
      </c>
      <c r="T244" s="1">
        <v>111563</v>
      </c>
      <c r="U244" s="1">
        <v>185422</v>
      </c>
      <c r="V244" s="1">
        <v>224</v>
      </c>
      <c r="W244" s="1">
        <v>827778</v>
      </c>
      <c r="X244" s="1">
        <v>111209</v>
      </c>
      <c r="Y244" s="1">
        <v>165551</v>
      </c>
      <c r="Z244" s="1">
        <v>-4974</v>
      </c>
      <c r="AA244" s="1">
        <v>853939</v>
      </c>
      <c r="AB244" s="1">
        <v>116049</v>
      </c>
      <c r="AC244" s="1">
        <v>200752</v>
      </c>
      <c r="AD244" s="1">
        <v>3188</v>
      </c>
      <c r="AE244" s="1">
        <v>858864</v>
      </c>
      <c r="AF244" s="1">
        <v>112338</v>
      </c>
      <c r="AG244" s="1">
        <v>205315</v>
      </c>
      <c r="AH244" s="1">
        <v>3141</v>
      </c>
      <c r="AI244">
        <v>-25.99</v>
      </c>
      <c r="AJ244">
        <v>-24.82</v>
      </c>
      <c r="AK244">
        <v>-36.92</v>
      </c>
    </row>
    <row r="245" spans="1:37" x14ac:dyDescent="0.2">
      <c r="A245" t="s">
        <v>411</v>
      </c>
      <c r="B245">
        <v>1184381</v>
      </c>
      <c r="C245" s="1">
        <v>1493</v>
      </c>
      <c r="D245" s="1">
        <v>1925830</v>
      </c>
      <c r="E245" t="s">
        <v>412</v>
      </c>
      <c r="G245" s="1">
        <v>503446</v>
      </c>
      <c r="H245" s="1">
        <v>222137</v>
      </c>
      <c r="I245" s="1">
        <v>526052</v>
      </c>
      <c r="J245" s="1">
        <v>49574</v>
      </c>
      <c r="K245" s="1">
        <v>505753</v>
      </c>
      <c r="L245" s="1">
        <v>235310</v>
      </c>
      <c r="M245" s="1">
        <v>445456</v>
      </c>
      <c r="N245" s="1">
        <v>39303</v>
      </c>
      <c r="O245" s="1">
        <v>568984</v>
      </c>
      <c r="P245" s="1">
        <v>237112</v>
      </c>
      <c r="Q245" s="1">
        <v>171190</v>
      </c>
      <c r="R245" s="1">
        <v>18867</v>
      </c>
      <c r="S245" s="1">
        <v>523359</v>
      </c>
      <c r="T245" s="1">
        <v>233792</v>
      </c>
      <c r="U245" s="1">
        <v>150868</v>
      </c>
      <c r="V245" s="1">
        <v>16709</v>
      </c>
      <c r="W245" s="1">
        <v>535560</v>
      </c>
      <c r="X245" s="1">
        <v>230870</v>
      </c>
      <c r="Y245" s="1">
        <v>150880</v>
      </c>
      <c r="Z245" s="1">
        <v>17523</v>
      </c>
      <c r="AA245" s="1">
        <v>503446</v>
      </c>
      <c r="AB245" s="1">
        <v>222137</v>
      </c>
      <c r="AC245" s="1">
        <v>139110</v>
      </c>
      <c r="AD245" s="1">
        <v>11197</v>
      </c>
      <c r="AE245" s="1">
        <v>536081</v>
      </c>
      <c r="AF245" s="1">
        <v>246744</v>
      </c>
      <c r="AG245" s="1">
        <v>140805</v>
      </c>
      <c r="AH245" s="1">
        <v>18137</v>
      </c>
      <c r="AI245">
        <v>9.86</v>
      </c>
      <c r="AJ245">
        <v>138.72</v>
      </c>
      <c r="AK245">
        <v>181.25</v>
      </c>
    </row>
    <row r="246" spans="1:37" x14ac:dyDescent="0.2">
      <c r="A246" t="s">
        <v>413</v>
      </c>
      <c r="B246">
        <v>1228808</v>
      </c>
      <c r="C246" s="1">
        <v>1253</v>
      </c>
      <c r="D246" s="1">
        <v>1212278</v>
      </c>
      <c r="E246" t="s">
        <v>414</v>
      </c>
      <c r="G246" s="1">
        <v>310071</v>
      </c>
      <c r="H246" s="1">
        <v>86415</v>
      </c>
      <c r="I246" s="1">
        <v>676199</v>
      </c>
      <c r="J246" s="1">
        <v>38515</v>
      </c>
      <c r="K246" s="1">
        <v>303898</v>
      </c>
      <c r="L246" s="1">
        <v>83305</v>
      </c>
      <c r="M246" s="1">
        <v>611500</v>
      </c>
      <c r="N246" s="1">
        <v>24547</v>
      </c>
      <c r="O246" s="1">
        <v>440151</v>
      </c>
      <c r="P246" s="1">
        <v>290080</v>
      </c>
      <c r="Q246" s="1">
        <v>184986</v>
      </c>
      <c r="R246" s="1">
        <v>11252</v>
      </c>
      <c r="S246" s="1">
        <v>373384</v>
      </c>
      <c r="T246" s="1">
        <v>73248</v>
      </c>
      <c r="U246" s="1">
        <v>191078</v>
      </c>
      <c r="V246" s="1">
        <v>11605</v>
      </c>
      <c r="W246" s="1">
        <v>325767</v>
      </c>
      <c r="X246" s="1">
        <v>96541</v>
      </c>
      <c r="Y246" s="1">
        <v>165986</v>
      </c>
      <c r="Z246" s="1">
        <v>10228</v>
      </c>
      <c r="AA246" s="1">
        <v>310071</v>
      </c>
      <c r="AB246" s="1">
        <v>86415</v>
      </c>
      <c r="AC246" s="1">
        <v>342731</v>
      </c>
      <c r="AD246" s="1">
        <v>23585</v>
      </c>
      <c r="AI246">
        <v>0</v>
      </c>
      <c r="AJ246">
        <v>0</v>
      </c>
      <c r="AK246">
        <v>0</v>
      </c>
    </row>
    <row r="247" spans="1:37" x14ac:dyDescent="0.2">
      <c r="A247" t="s">
        <v>415</v>
      </c>
      <c r="B247">
        <v>716019</v>
      </c>
      <c r="C247" s="1">
        <v>25380</v>
      </c>
      <c r="D247" s="1">
        <v>49856</v>
      </c>
      <c r="E247" t="s">
        <v>416</v>
      </c>
      <c r="G247" s="1">
        <v>88139</v>
      </c>
      <c r="H247" s="1">
        <v>69608</v>
      </c>
      <c r="I247" s="1">
        <v>1127</v>
      </c>
      <c r="J247" s="1">
        <v>3678</v>
      </c>
      <c r="K247" s="1">
        <v>83323</v>
      </c>
      <c r="L247" s="1">
        <v>65930</v>
      </c>
      <c r="M247" s="1">
        <v>1116</v>
      </c>
      <c r="N247" s="1">
        <v>2698</v>
      </c>
      <c r="S247" s="1">
        <v>115780</v>
      </c>
      <c r="T247" s="1">
        <v>94432</v>
      </c>
      <c r="U247" s="1">
        <v>550</v>
      </c>
      <c r="V247" s="1">
        <v>24824</v>
      </c>
      <c r="AA247" s="1">
        <v>88139</v>
      </c>
      <c r="AB247" s="1">
        <v>69608</v>
      </c>
      <c r="AC247" s="1">
        <v>537</v>
      </c>
      <c r="AD247" s="1">
        <v>250</v>
      </c>
      <c r="AI247">
        <v>8.8800000000000008</v>
      </c>
      <c r="AJ247">
        <v>-19.170000000000002</v>
      </c>
      <c r="AK247">
        <v>-10.45</v>
      </c>
    </row>
    <row r="248" spans="1:37" x14ac:dyDescent="0.2">
      <c r="A248" t="s">
        <v>417</v>
      </c>
      <c r="B248">
        <v>716035</v>
      </c>
      <c r="C248" s="1">
        <v>119400</v>
      </c>
      <c r="D248" s="1">
        <v>12664</v>
      </c>
      <c r="E248" t="s">
        <v>416</v>
      </c>
      <c r="G248" s="1">
        <v>88139</v>
      </c>
      <c r="H248" s="1">
        <v>69608</v>
      </c>
      <c r="I248" s="1">
        <v>1127</v>
      </c>
      <c r="J248" s="1">
        <v>3678</v>
      </c>
      <c r="K248" s="1">
        <v>83323</v>
      </c>
      <c r="L248" s="1">
        <v>65930</v>
      </c>
      <c r="M248" s="1">
        <v>1116</v>
      </c>
      <c r="N248" s="1">
        <v>2698</v>
      </c>
      <c r="S248" s="1">
        <v>115780</v>
      </c>
      <c r="T248" s="1">
        <v>94432</v>
      </c>
      <c r="U248" s="1">
        <v>550</v>
      </c>
      <c r="V248" s="1">
        <v>24824</v>
      </c>
      <c r="AA248" s="1">
        <v>88139</v>
      </c>
      <c r="AB248" s="1">
        <v>69608</v>
      </c>
      <c r="AC248" s="1">
        <v>537</v>
      </c>
      <c r="AD248" s="1">
        <v>250</v>
      </c>
      <c r="AI248">
        <v>-7.44</v>
      </c>
      <c r="AJ248">
        <v>12.06</v>
      </c>
      <c r="AK248">
        <v>20.23</v>
      </c>
    </row>
    <row r="249" spans="1:37" x14ac:dyDescent="0.2">
      <c r="A249" t="s">
        <v>418</v>
      </c>
      <c r="B249">
        <v>1176791</v>
      </c>
      <c r="C249" s="1">
        <v>514.1</v>
      </c>
      <c r="D249" s="1">
        <v>141636</v>
      </c>
      <c r="E249" t="s">
        <v>38</v>
      </c>
      <c r="G249" s="1">
        <v>18353</v>
      </c>
      <c r="H249" s="1">
        <v>15166</v>
      </c>
      <c r="J249" s="1">
        <v>-15582</v>
      </c>
      <c r="K249" s="1">
        <v>30204</v>
      </c>
      <c r="L249" s="1">
        <v>26804</v>
      </c>
      <c r="N249" s="1">
        <v>-13831</v>
      </c>
      <c r="S249" s="1">
        <v>10991</v>
      </c>
      <c r="T249" s="1">
        <v>8295</v>
      </c>
      <c r="V249" s="1">
        <v>-9534</v>
      </c>
      <c r="AA249" s="1">
        <v>18353</v>
      </c>
      <c r="AB249" s="1">
        <v>15166</v>
      </c>
      <c r="AD249" s="1">
        <v>-8566</v>
      </c>
      <c r="AI249">
        <v>-0.04</v>
      </c>
      <c r="AJ249">
        <v>34.83</v>
      </c>
      <c r="AK249">
        <v>-6.19</v>
      </c>
    </row>
    <row r="250" spans="1:37" x14ac:dyDescent="0.2">
      <c r="A250" t="s">
        <v>419</v>
      </c>
      <c r="B250">
        <v>544015</v>
      </c>
      <c r="C250" s="1">
        <v>47.6</v>
      </c>
      <c r="D250" s="1">
        <v>44554</v>
      </c>
      <c r="E250" t="s">
        <v>38</v>
      </c>
      <c r="G250" s="1">
        <v>231413</v>
      </c>
      <c r="H250" s="1">
        <v>56726</v>
      </c>
      <c r="I250" s="1">
        <v>1962</v>
      </c>
      <c r="J250" s="1">
        <v>-13325</v>
      </c>
      <c r="K250" s="1">
        <v>203519</v>
      </c>
      <c r="L250" s="1">
        <v>66231</v>
      </c>
      <c r="M250" s="1">
        <v>5335</v>
      </c>
      <c r="N250" s="1">
        <v>1443</v>
      </c>
      <c r="O250" s="1">
        <v>221651</v>
      </c>
      <c r="P250" s="1">
        <v>47716</v>
      </c>
      <c r="Q250" s="1">
        <v>-166</v>
      </c>
      <c r="R250" s="1">
        <v>-5185</v>
      </c>
      <c r="S250" s="1">
        <v>190815</v>
      </c>
      <c r="T250" s="1">
        <v>49835</v>
      </c>
      <c r="U250" s="1">
        <v>102</v>
      </c>
      <c r="V250" s="1">
        <v>-2569</v>
      </c>
      <c r="W250" s="1">
        <v>189499</v>
      </c>
      <c r="X250" s="1">
        <v>54871</v>
      </c>
      <c r="Y250" s="1">
        <v>88</v>
      </c>
      <c r="Z250" s="1">
        <v>-2647</v>
      </c>
      <c r="AA250" s="1">
        <v>231413</v>
      </c>
      <c r="AB250" s="1">
        <v>56726</v>
      </c>
      <c r="AC250" s="1">
        <v>29</v>
      </c>
      <c r="AD250" s="1">
        <v>4761</v>
      </c>
      <c r="AE250" s="1">
        <v>202235</v>
      </c>
      <c r="AF250" s="1">
        <v>52322</v>
      </c>
      <c r="AG250" s="1">
        <v>312</v>
      </c>
      <c r="AH250" s="1">
        <v>-8110</v>
      </c>
      <c r="AI250">
        <v>-3.72</v>
      </c>
      <c r="AJ250">
        <v>29.44</v>
      </c>
      <c r="AK250">
        <v>-41.01</v>
      </c>
    </row>
    <row r="251" spans="1:37" x14ac:dyDescent="0.2">
      <c r="A251" t="s">
        <v>420</v>
      </c>
      <c r="B251">
        <v>494013</v>
      </c>
      <c r="C251" s="1">
        <v>79.2</v>
      </c>
      <c r="D251" s="1">
        <v>175411</v>
      </c>
      <c r="E251" t="s">
        <v>38</v>
      </c>
      <c r="G251" s="1">
        <v>2784</v>
      </c>
      <c r="H251" s="1">
        <v>-17</v>
      </c>
      <c r="I251" s="1">
        <v>15085</v>
      </c>
      <c r="J251" s="1">
        <v>-2245</v>
      </c>
      <c r="K251" s="1">
        <v>3931</v>
      </c>
      <c r="L251" s="1">
        <v>156</v>
      </c>
      <c r="M251" s="1">
        <v>7103</v>
      </c>
      <c r="N251" s="1">
        <v>-8608</v>
      </c>
      <c r="S251" s="1">
        <v>10727</v>
      </c>
      <c r="T251" s="1">
        <v>5545</v>
      </c>
      <c r="U251" s="1">
        <v>2705</v>
      </c>
      <c r="V251" s="1">
        <v>-4725</v>
      </c>
      <c r="AA251" s="1">
        <v>2784</v>
      </c>
      <c r="AB251" s="1">
        <v>-17</v>
      </c>
      <c r="AC251" s="1">
        <v>14470</v>
      </c>
      <c r="AD251" s="1">
        <v>1815</v>
      </c>
      <c r="AI251">
        <v>57.46</v>
      </c>
      <c r="AJ251">
        <v>268.52999999999997</v>
      </c>
      <c r="AK251">
        <v>23.91</v>
      </c>
    </row>
    <row r="252" spans="1:37" x14ac:dyDescent="0.2">
      <c r="A252" t="s">
        <v>421</v>
      </c>
      <c r="B252">
        <v>507012</v>
      </c>
      <c r="C252" s="1">
        <v>46820</v>
      </c>
      <c r="D252" s="1">
        <v>1606685</v>
      </c>
      <c r="E252" t="s">
        <v>422</v>
      </c>
      <c r="G252" s="1">
        <v>2370286</v>
      </c>
      <c r="H252" s="1">
        <v>274221</v>
      </c>
      <c r="I252" s="1">
        <v>4003967</v>
      </c>
      <c r="J252" s="1">
        <v>86911</v>
      </c>
      <c r="K252" s="1">
        <v>2251910</v>
      </c>
      <c r="L252" s="1">
        <v>334099</v>
      </c>
      <c r="M252" s="1">
        <v>3697528</v>
      </c>
      <c r="N252" s="1">
        <v>70939</v>
      </c>
      <c r="O252" s="1">
        <v>2415490</v>
      </c>
      <c r="P252" s="1">
        <v>369418</v>
      </c>
      <c r="Q252" s="1">
        <v>3396882</v>
      </c>
      <c r="R252" s="1">
        <v>73470</v>
      </c>
      <c r="S252" s="1">
        <v>2570047</v>
      </c>
      <c r="T252" s="1">
        <v>291992</v>
      </c>
      <c r="U252" s="1">
        <v>1115115</v>
      </c>
      <c r="V252" s="1">
        <v>25071</v>
      </c>
      <c r="W252" s="1">
        <v>2501591</v>
      </c>
      <c r="X252" s="1">
        <v>281172</v>
      </c>
      <c r="Y252" s="1">
        <v>1130128</v>
      </c>
      <c r="Z252" s="1">
        <v>22166</v>
      </c>
      <c r="AA252" s="1">
        <v>2370286</v>
      </c>
      <c r="AB252" s="1">
        <v>274221</v>
      </c>
      <c r="AC252" s="1">
        <v>1080571</v>
      </c>
      <c r="AD252" s="1">
        <v>25011</v>
      </c>
      <c r="AE252" s="1">
        <v>2093989</v>
      </c>
      <c r="AF252" s="1">
        <v>268774</v>
      </c>
      <c r="AG252" s="1">
        <v>970461</v>
      </c>
      <c r="AH252" s="1">
        <v>22963</v>
      </c>
      <c r="AI252">
        <v>1.17</v>
      </c>
      <c r="AJ252">
        <v>38.71</v>
      </c>
      <c r="AK252">
        <v>123.41</v>
      </c>
    </row>
    <row r="253" spans="1:37" x14ac:dyDescent="0.2">
      <c r="A253" t="s">
        <v>423</v>
      </c>
      <c r="B253">
        <v>1203181</v>
      </c>
      <c r="C253" s="1">
        <v>2285</v>
      </c>
      <c r="D253" s="1">
        <v>1002752</v>
      </c>
      <c r="E253" t="s">
        <v>424</v>
      </c>
      <c r="G253" s="1">
        <v>293988</v>
      </c>
      <c r="H253" s="1">
        <v>151157</v>
      </c>
      <c r="I253" s="1">
        <v>187402</v>
      </c>
      <c r="J253" s="1">
        <v>48242</v>
      </c>
      <c r="K253" s="1">
        <v>243619</v>
      </c>
      <c r="L253" s="1">
        <v>158225</v>
      </c>
      <c r="M253" s="1">
        <v>162235</v>
      </c>
      <c r="N253" s="1">
        <v>40162</v>
      </c>
      <c r="O253" s="1">
        <v>346292</v>
      </c>
      <c r="P253" s="1">
        <v>167695</v>
      </c>
      <c r="Q253" s="1">
        <v>58178</v>
      </c>
      <c r="R253" s="1">
        <v>15997</v>
      </c>
      <c r="S253" s="1">
        <v>428081</v>
      </c>
      <c r="T253" s="1">
        <v>161105</v>
      </c>
      <c r="U253" s="1">
        <v>52842</v>
      </c>
      <c r="V253" s="1">
        <v>13386</v>
      </c>
      <c r="W253" s="1">
        <v>423283</v>
      </c>
      <c r="X253" s="1">
        <v>156597</v>
      </c>
      <c r="Y253" s="1">
        <v>51633</v>
      </c>
      <c r="Z253" s="1">
        <v>14121</v>
      </c>
      <c r="AA253" s="1">
        <v>293988</v>
      </c>
      <c r="AB253" s="1">
        <v>151157</v>
      </c>
      <c r="AC253" s="1">
        <v>53380</v>
      </c>
      <c r="AD253" s="1">
        <v>15481</v>
      </c>
      <c r="AE253" s="1">
        <v>305254</v>
      </c>
      <c r="AF253" s="1">
        <v>144693</v>
      </c>
      <c r="AG253" s="1">
        <v>46118</v>
      </c>
      <c r="AH253" s="1">
        <v>11740</v>
      </c>
      <c r="AI253">
        <v>0</v>
      </c>
      <c r="AJ253">
        <v>107.66</v>
      </c>
      <c r="AK253">
        <v>0</v>
      </c>
    </row>
    <row r="254" spans="1:37" x14ac:dyDescent="0.2">
      <c r="A254" t="s">
        <v>425</v>
      </c>
      <c r="B254">
        <v>1091065</v>
      </c>
      <c r="C254" s="1">
        <v>425.3</v>
      </c>
      <c r="D254" s="1">
        <v>466732</v>
      </c>
      <c r="E254" t="s">
        <v>38</v>
      </c>
      <c r="G254" s="1">
        <v>2086963</v>
      </c>
      <c r="H254" s="1">
        <v>660963</v>
      </c>
      <c r="I254" s="1">
        <v>1626453</v>
      </c>
      <c r="J254" s="1">
        <v>-34148</v>
      </c>
      <c r="K254" s="1">
        <v>2179305</v>
      </c>
      <c r="L254" s="1">
        <v>758224</v>
      </c>
      <c r="M254" s="1">
        <v>1889565</v>
      </c>
      <c r="N254" s="1">
        <v>148249</v>
      </c>
      <c r="S254" s="1">
        <v>2022227</v>
      </c>
      <c r="T254" s="1">
        <v>675912</v>
      </c>
      <c r="U254" s="1">
        <v>514803</v>
      </c>
      <c r="V254" s="1">
        <v>11637</v>
      </c>
      <c r="W254" s="1">
        <v>2319549</v>
      </c>
      <c r="X254" s="1">
        <v>681414</v>
      </c>
      <c r="Y254" s="1">
        <v>346622</v>
      </c>
      <c r="Z254" s="1">
        <v>12424</v>
      </c>
      <c r="AA254" s="1">
        <v>2086963</v>
      </c>
      <c r="AB254" s="1">
        <v>660963</v>
      </c>
      <c r="AC254" s="1">
        <v>242623</v>
      </c>
      <c r="AD254" s="1">
        <v>-95422</v>
      </c>
      <c r="AE254" s="1">
        <v>2112706</v>
      </c>
      <c r="AF254" s="1">
        <v>770344</v>
      </c>
      <c r="AG254" s="1">
        <v>320698</v>
      </c>
      <c r="AH254" s="1">
        <v>-19414</v>
      </c>
      <c r="AI254">
        <v>-6.07</v>
      </c>
      <c r="AJ254">
        <v>-58.18</v>
      </c>
      <c r="AK254">
        <v>-88.4</v>
      </c>
    </row>
    <row r="255" spans="1:37" x14ac:dyDescent="0.2">
      <c r="A255" t="s">
        <v>426</v>
      </c>
      <c r="B255">
        <v>1167501</v>
      </c>
      <c r="C255" s="1">
        <v>173.8</v>
      </c>
      <c r="D255" s="1">
        <v>18070</v>
      </c>
      <c r="E255" t="s">
        <v>38</v>
      </c>
      <c r="G255" s="1">
        <v>81827</v>
      </c>
      <c r="H255" s="1">
        <v>79143</v>
      </c>
      <c r="I255" s="1">
        <v>57</v>
      </c>
      <c r="J255" s="1">
        <v>-39881</v>
      </c>
      <c r="K255" s="1">
        <v>114741</v>
      </c>
      <c r="L255" s="1">
        <v>112457</v>
      </c>
      <c r="N255" s="1">
        <v>-25911</v>
      </c>
      <c r="S255" s="1">
        <v>72562</v>
      </c>
      <c r="T255" s="1">
        <v>71237</v>
      </c>
      <c r="U255" s="1">
        <v>14</v>
      </c>
      <c r="V255" s="1">
        <v>-8045</v>
      </c>
      <c r="AA255" s="1">
        <v>81827</v>
      </c>
      <c r="AB255" s="1">
        <v>79143</v>
      </c>
      <c r="AC255" s="1">
        <v>22</v>
      </c>
      <c r="AD255" s="1">
        <v>-20391</v>
      </c>
      <c r="AI255">
        <v>-13.17</v>
      </c>
      <c r="AJ255">
        <v>-5.49</v>
      </c>
      <c r="AK255">
        <v>-86.97</v>
      </c>
    </row>
    <row r="256" spans="1:37" x14ac:dyDescent="0.2">
      <c r="A256" t="s">
        <v>427</v>
      </c>
      <c r="B256">
        <v>1168186</v>
      </c>
      <c r="C256" s="1">
        <v>59720</v>
      </c>
      <c r="D256" s="1">
        <v>1766149</v>
      </c>
      <c r="E256" t="s">
        <v>428</v>
      </c>
      <c r="G256" s="1">
        <v>8566795</v>
      </c>
      <c r="H256" s="1">
        <v>1321514</v>
      </c>
      <c r="I256" s="1">
        <v>1077426</v>
      </c>
      <c r="J256" s="1">
        <v>141100</v>
      </c>
      <c r="K256" s="1">
        <v>7830235</v>
      </c>
      <c r="L256" s="1">
        <v>1236894</v>
      </c>
      <c r="M256" s="1">
        <v>1041997</v>
      </c>
      <c r="N256" s="1">
        <v>132467</v>
      </c>
      <c r="O256" s="1">
        <v>10069683</v>
      </c>
      <c r="P256" s="1">
        <v>1371237</v>
      </c>
      <c r="Q256" s="1">
        <v>338042</v>
      </c>
      <c r="R256" s="1">
        <v>60232</v>
      </c>
      <c r="S256" s="1">
        <v>9163564</v>
      </c>
      <c r="T256" s="1">
        <v>1321455</v>
      </c>
      <c r="U256" s="1">
        <v>252889</v>
      </c>
      <c r="V256" s="1">
        <v>16029</v>
      </c>
      <c r="W256" s="1">
        <v>8915723</v>
      </c>
      <c r="X256" s="1">
        <v>1318289</v>
      </c>
      <c r="Y256" s="1">
        <v>222365</v>
      </c>
      <c r="Z256" s="1">
        <v>19426</v>
      </c>
      <c r="AA256" s="1">
        <v>8566795</v>
      </c>
      <c r="AB256" s="1">
        <v>1321514</v>
      </c>
      <c r="AC256" s="1">
        <v>275817</v>
      </c>
      <c r="AD256" s="1">
        <v>33404</v>
      </c>
      <c r="AE256" s="1">
        <v>8510686</v>
      </c>
      <c r="AF256" s="1">
        <v>1312117</v>
      </c>
      <c r="AG256" s="1">
        <v>269027</v>
      </c>
      <c r="AH256" s="1">
        <v>36191</v>
      </c>
      <c r="AI256">
        <v>18.649999999999999</v>
      </c>
      <c r="AJ256">
        <v>15.46</v>
      </c>
      <c r="AK256">
        <v>4.03</v>
      </c>
    </row>
    <row r="257" spans="1:37" x14ac:dyDescent="0.2">
      <c r="A257" t="s">
        <v>429</v>
      </c>
      <c r="B257">
        <v>1108638</v>
      </c>
      <c r="C257" s="1">
        <v>2.9</v>
      </c>
      <c r="D257" s="1">
        <v>730</v>
      </c>
      <c r="E257" t="s">
        <v>38</v>
      </c>
      <c r="G257" s="1">
        <v>58275.41</v>
      </c>
      <c r="H257" s="1">
        <v>-73388.58</v>
      </c>
      <c r="I257" s="1">
        <v>28639.89</v>
      </c>
      <c r="J257" s="1">
        <v>-150562.75</v>
      </c>
      <c r="K257" s="1">
        <v>193286.46</v>
      </c>
      <c r="L257" s="1">
        <v>-58195.22</v>
      </c>
      <c r="M257" s="1">
        <v>44481.53</v>
      </c>
      <c r="N257" s="1">
        <v>-34547.18</v>
      </c>
      <c r="S257" s="1">
        <v>65541.56</v>
      </c>
      <c r="T257" s="1">
        <v>-67949.17</v>
      </c>
      <c r="U257" s="1">
        <v>2630.16</v>
      </c>
      <c r="V257" s="1">
        <v>-4805.1000000000004</v>
      </c>
      <c r="W257" s="1">
        <v>72248.17</v>
      </c>
      <c r="X257" s="1">
        <v>-66622.84</v>
      </c>
      <c r="Y257" s="1">
        <v>2044.9</v>
      </c>
      <c r="Z257" s="1">
        <v>34484.449999999997</v>
      </c>
      <c r="AA257" s="1">
        <v>58275.41</v>
      </c>
      <c r="AB257" s="1">
        <v>-73388.58</v>
      </c>
      <c r="AC257" s="1">
        <v>3096.3</v>
      </c>
      <c r="AD257" s="1">
        <v>-34354.74</v>
      </c>
      <c r="AE257" s="1">
        <v>70033.67</v>
      </c>
      <c r="AF257" s="1">
        <v>-58948.19</v>
      </c>
      <c r="AG257" s="1">
        <v>6370.07</v>
      </c>
      <c r="AH257" s="1">
        <v>-107667.91</v>
      </c>
      <c r="AI257">
        <v>3.57</v>
      </c>
      <c r="AJ257">
        <v>-9.3800000000000008</v>
      </c>
      <c r="AK257">
        <v>-83.43</v>
      </c>
    </row>
    <row r="258" spans="1:37" x14ac:dyDescent="0.2">
      <c r="A258" t="s">
        <v>430</v>
      </c>
      <c r="B258">
        <v>1105196</v>
      </c>
      <c r="C258" s="1">
        <v>544.1</v>
      </c>
      <c r="D258" s="1">
        <v>189355</v>
      </c>
      <c r="E258" t="s">
        <v>38</v>
      </c>
      <c r="G258" s="1">
        <v>2873206</v>
      </c>
      <c r="H258" s="1">
        <v>658632</v>
      </c>
      <c r="I258" s="1">
        <v>467585</v>
      </c>
      <c r="J258" s="1">
        <v>-22245</v>
      </c>
      <c r="K258" s="1">
        <v>3284766</v>
      </c>
      <c r="L258" s="1">
        <v>708418</v>
      </c>
      <c r="M258" s="1">
        <v>469968</v>
      </c>
      <c r="N258" s="1">
        <v>-39778</v>
      </c>
      <c r="O258" s="1">
        <v>2567778</v>
      </c>
      <c r="P258" s="1">
        <v>524421</v>
      </c>
      <c r="Q258" s="1">
        <v>93204</v>
      </c>
      <c r="R258" s="1">
        <v>-41979</v>
      </c>
      <c r="S258" s="1">
        <v>2597658</v>
      </c>
      <c r="T258" s="1">
        <v>576616</v>
      </c>
      <c r="U258" s="1">
        <v>85243</v>
      </c>
      <c r="V258" s="1">
        <v>-17500</v>
      </c>
      <c r="W258" s="1">
        <v>2840063</v>
      </c>
      <c r="X258" s="1">
        <v>663314</v>
      </c>
      <c r="Y258" s="1">
        <v>77372</v>
      </c>
      <c r="Z258" s="1">
        <v>-10166</v>
      </c>
      <c r="AA258" s="1">
        <v>2873206</v>
      </c>
      <c r="AB258" s="1">
        <v>658632</v>
      </c>
      <c r="AC258" s="1">
        <v>104791</v>
      </c>
      <c r="AD258" s="1">
        <v>58306</v>
      </c>
      <c r="AE258" s="1">
        <v>2729563</v>
      </c>
      <c r="AF258" s="1">
        <v>618041</v>
      </c>
      <c r="AG258" s="1">
        <v>133772</v>
      </c>
      <c r="AH258" s="1">
        <v>-57356</v>
      </c>
      <c r="AI258">
        <v>-18.16</v>
      </c>
      <c r="AJ258">
        <v>-23.43</v>
      </c>
      <c r="AK258">
        <v>-35.57</v>
      </c>
    </row>
    <row r="259" spans="1:37" x14ac:dyDescent="0.2">
      <c r="A259" t="s">
        <v>431</v>
      </c>
      <c r="B259">
        <v>1179753</v>
      </c>
      <c r="C259" s="1">
        <v>1232</v>
      </c>
      <c r="D259" s="1">
        <v>534995</v>
      </c>
      <c r="E259" t="s">
        <v>432</v>
      </c>
      <c r="G259" s="1">
        <v>1631378</v>
      </c>
      <c r="H259" s="1">
        <v>305733</v>
      </c>
      <c r="I259" s="1">
        <v>204743</v>
      </c>
      <c r="J259" s="1">
        <v>50932</v>
      </c>
      <c r="K259" s="1">
        <v>1613237</v>
      </c>
      <c r="L259" s="1">
        <v>258380</v>
      </c>
      <c r="M259" s="1">
        <v>182523</v>
      </c>
      <c r="N259" s="1">
        <v>41025</v>
      </c>
      <c r="O259" s="1">
        <v>2125063</v>
      </c>
      <c r="P259" s="1">
        <v>338303</v>
      </c>
      <c r="Q259" s="1">
        <v>58895</v>
      </c>
      <c r="R259" s="1">
        <v>13720</v>
      </c>
      <c r="S259" s="1">
        <v>1961628</v>
      </c>
      <c r="T259" s="1">
        <v>324221</v>
      </c>
      <c r="U259" s="1">
        <v>50894</v>
      </c>
      <c r="V259" s="1">
        <v>10543</v>
      </c>
      <c r="W259" s="1">
        <v>1806347</v>
      </c>
      <c r="X259" s="1">
        <v>313234</v>
      </c>
      <c r="Y259" s="1">
        <v>48189</v>
      </c>
      <c r="Z259" s="1">
        <v>12217</v>
      </c>
      <c r="AA259" s="1">
        <v>1631378</v>
      </c>
      <c r="AB259" s="1">
        <v>305733</v>
      </c>
      <c r="AC259" s="1">
        <v>52984</v>
      </c>
      <c r="AD259" s="1">
        <v>12171</v>
      </c>
      <c r="AE259" s="1">
        <v>1591208</v>
      </c>
      <c r="AF259" s="1">
        <v>293242</v>
      </c>
      <c r="AG259" s="1">
        <v>48151</v>
      </c>
      <c r="AH259" s="1">
        <v>14025</v>
      </c>
      <c r="AI259">
        <v>-23.05</v>
      </c>
      <c r="AJ259">
        <v>54.44</v>
      </c>
      <c r="AK259">
        <v>78.91</v>
      </c>
    </row>
    <row r="260" spans="1:37" x14ac:dyDescent="0.2">
      <c r="A260" t="s">
        <v>433</v>
      </c>
      <c r="B260">
        <v>1229335</v>
      </c>
      <c r="C260" s="1">
        <v>6266</v>
      </c>
      <c r="D260" s="1">
        <v>1097427</v>
      </c>
      <c r="E260" t="s">
        <v>434</v>
      </c>
      <c r="G260" s="1">
        <v>535003</v>
      </c>
      <c r="H260" s="1">
        <v>82901</v>
      </c>
      <c r="I260" s="1">
        <v>159696</v>
      </c>
      <c r="J260" s="1">
        <v>18845</v>
      </c>
      <c r="K260" s="1">
        <v>276662</v>
      </c>
      <c r="L260" s="1">
        <v>97892</v>
      </c>
      <c r="M260" s="1">
        <v>142103</v>
      </c>
      <c r="N260" s="1">
        <v>16590</v>
      </c>
      <c r="O260" s="1">
        <v>799477</v>
      </c>
      <c r="P260" s="1">
        <v>459250</v>
      </c>
      <c r="Q260" s="1">
        <v>49762</v>
      </c>
      <c r="R260" s="1">
        <v>3056</v>
      </c>
      <c r="S260" s="1">
        <v>504087</v>
      </c>
      <c r="T260" s="1">
        <v>89353</v>
      </c>
      <c r="U260" s="1">
        <v>48483</v>
      </c>
      <c r="V260" s="1">
        <v>-3015</v>
      </c>
      <c r="W260" s="1">
        <v>526282</v>
      </c>
      <c r="X260" s="1">
        <v>83571</v>
      </c>
      <c r="Y260" s="1">
        <v>48746</v>
      </c>
      <c r="Z260" s="1">
        <v>3239</v>
      </c>
      <c r="AA260" s="1">
        <v>535003</v>
      </c>
      <c r="AB260" s="1">
        <v>82901</v>
      </c>
      <c r="AC260" s="1">
        <v>44286</v>
      </c>
      <c r="AD260" s="1">
        <v>3337</v>
      </c>
      <c r="AE260" s="1">
        <v>341889</v>
      </c>
      <c r="AF260" s="1">
        <v>105886</v>
      </c>
      <c r="AG260" s="1">
        <v>40093</v>
      </c>
      <c r="AH260" s="1">
        <v>3702</v>
      </c>
      <c r="AI260">
        <v>0</v>
      </c>
      <c r="AJ260">
        <v>0</v>
      </c>
      <c r="AK260">
        <v>0</v>
      </c>
    </row>
    <row r="261" spans="1:37" x14ac:dyDescent="0.2">
      <c r="A261" t="s">
        <v>435</v>
      </c>
      <c r="B261">
        <v>731018</v>
      </c>
      <c r="C261" s="1">
        <v>23900</v>
      </c>
      <c r="D261" s="1">
        <v>1529926</v>
      </c>
      <c r="E261" t="s">
        <v>436</v>
      </c>
      <c r="G261" s="1">
        <v>2504007</v>
      </c>
      <c r="H261" s="1">
        <v>495167</v>
      </c>
      <c r="I261" s="1">
        <v>3781339</v>
      </c>
      <c r="J261" s="1">
        <v>59038</v>
      </c>
      <c r="K261" s="1">
        <v>11675434</v>
      </c>
      <c r="L261" s="1">
        <v>3144592</v>
      </c>
      <c r="M261" s="1">
        <v>3028947</v>
      </c>
      <c r="N261" s="1">
        <v>315804</v>
      </c>
      <c r="O261" s="1">
        <v>2777676</v>
      </c>
      <c r="P261" s="1">
        <v>539301</v>
      </c>
      <c r="Q261" s="1">
        <v>1116107</v>
      </c>
      <c r="R261" s="1">
        <v>22240</v>
      </c>
      <c r="S261" s="1">
        <v>2577821</v>
      </c>
      <c r="T261" s="1">
        <v>520594</v>
      </c>
      <c r="U261" s="1">
        <v>910609</v>
      </c>
      <c r="V261" s="1">
        <v>11118</v>
      </c>
      <c r="W261" s="1">
        <v>2583312</v>
      </c>
      <c r="X261" s="1">
        <v>513470</v>
      </c>
      <c r="Y261" s="1">
        <v>1001758</v>
      </c>
      <c r="Z261" s="1">
        <v>18934</v>
      </c>
      <c r="AA261" s="1">
        <v>2504007</v>
      </c>
      <c r="AB261" s="1">
        <v>495167</v>
      </c>
      <c r="AC261" s="1">
        <v>1053140</v>
      </c>
      <c r="AD261" s="1">
        <v>17093</v>
      </c>
      <c r="AE261" s="1">
        <v>2474165</v>
      </c>
      <c r="AF261" s="1">
        <v>480634</v>
      </c>
      <c r="AG261" s="1">
        <v>909546</v>
      </c>
      <c r="AH261" s="1">
        <v>20644</v>
      </c>
      <c r="AI261">
        <v>17.329999999999998</v>
      </c>
      <c r="AJ261">
        <v>82.34</v>
      </c>
      <c r="AK261">
        <v>302.85000000000002</v>
      </c>
    </row>
    <row r="262" spans="1:37" x14ac:dyDescent="0.2">
      <c r="A262" t="s">
        <v>437</v>
      </c>
      <c r="B262">
        <v>1170950</v>
      </c>
      <c r="C262" s="1">
        <v>1510</v>
      </c>
      <c r="D262" s="1">
        <v>453538</v>
      </c>
      <c r="E262" t="s">
        <v>438</v>
      </c>
      <c r="G262" s="1">
        <v>905025</v>
      </c>
      <c r="H262" s="1">
        <v>291793</v>
      </c>
      <c r="I262" s="1">
        <v>137939</v>
      </c>
      <c r="J262" s="1">
        <v>37032</v>
      </c>
      <c r="K262" s="1">
        <v>791417</v>
      </c>
      <c r="L262" s="1">
        <v>258613</v>
      </c>
      <c r="M262" s="1">
        <v>149569</v>
      </c>
      <c r="N262" s="1">
        <v>28624</v>
      </c>
      <c r="O262" s="1">
        <v>1078835</v>
      </c>
      <c r="P262" s="1">
        <v>315688</v>
      </c>
      <c r="Q262" s="1">
        <v>46249</v>
      </c>
      <c r="R262" s="1">
        <v>16790</v>
      </c>
      <c r="S262" s="1">
        <v>1052682</v>
      </c>
      <c r="T262" s="1">
        <v>303351</v>
      </c>
      <c r="U262" s="1">
        <v>41475</v>
      </c>
      <c r="V262" s="1">
        <v>14709</v>
      </c>
      <c r="W262" s="1">
        <v>977674</v>
      </c>
      <c r="X262" s="1">
        <v>292361</v>
      </c>
      <c r="Y262" s="1">
        <v>39602</v>
      </c>
      <c r="Z262" s="1">
        <v>11617</v>
      </c>
      <c r="AA262" s="1">
        <v>905025</v>
      </c>
      <c r="AB262" s="1">
        <v>291793</v>
      </c>
      <c r="AC262" s="1">
        <v>34899</v>
      </c>
      <c r="AD262" s="1">
        <v>9724</v>
      </c>
      <c r="AE262" s="1">
        <v>798674</v>
      </c>
      <c r="AF262" s="1">
        <v>283809</v>
      </c>
      <c r="AG262" s="1">
        <v>34413</v>
      </c>
      <c r="AH262" s="1">
        <v>9514</v>
      </c>
      <c r="AI262">
        <v>20.05</v>
      </c>
      <c r="AJ262">
        <v>137.69</v>
      </c>
      <c r="AK262">
        <v>107.97</v>
      </c>
    </row>
    <row r="263" spans="1:37" x14ac:dyDescent="0.2">
      <c r="A263" t="s">
        <v>439</v>
      </c>
      <c r="B263">
        <v>1129444</v>
      </c>
      <c r="C263" s="1">
        <v>1565</v>
      </c>
      <c r="D263" s="1">
        <v>620055</v>
      </c>
      <c r="E263" t="s">
        <v>440</v>
      </c>
      <c r="G263" s="1">
        <v>984165</v>
      </c>
      <c r="H263" s="1">
        <v>458236</v>
      </c>
      <c r="I263" s="1">
        <v>1023898</v>
      </c>
      <c r="J263" s="1">
        <v>47931</v>
      </c>
      <c r="K263" s="1">
        <v>979100</v>
      </c>
      <c r="L263" s="1">
        <v>422687</v>
      </c>
      <c r="M263" s="1">
        <v>1059188</v>
      </c>
      <c r="N263" s="1">
        <v>37443</v>
      </c>
      <c r="O263" s="1">
        <v>953884</v>
      </c>
      <c r="P263" s="1">
        <v>462641</v>
      </c>
      <c r="Q263" s="1">
        <v>279232</v>
      </c>
      <c r="R263" s="1">
        <v>11441</v>
      </c>
      <c r="S263" s="1">
        <v>965294</v>
      </c>
      <c r="T263" s="1">
        <v>451141</v>
      </c>
      <c r="U263" s="1">
        <v>242135</v>
      </c>
      <c r="V263" s="1">
        <v>7226</v>
      </c>
      <c r="W263" s="1">
        <v>986513</v>
      </c>
      <c r="X263" s="1">
        <v>443856</v>
      </c>
      <c r="Y263" s="1">
        <v>253961</v>
      </c>
      <c r="Z263" s="1">
        <v>9536</v>
      </c>
      <c r="AA263" s="1">
        <v>984165</v>
      </c>
      <c r="AB263" s="1">
        <v>458236</v>
      </c>
      <c r="AC263" s="1">
        <v>273844</v>
      </c>
      <c r="AD263" s="1">
        <v>14808</v>
      </c>
      <c r="AE263" s="1">
        <v>1011460</v>
      </c>
      <c r="AF263" s="1">
        <v>443172</v>
      </c>
      <c r="AG263" s="1">
        <v>281887</v>
      </c>
      <c r="AH263" s="1">
        <v>13888</v>
      </c>
      <c r="AI263">
        <v>13.73</v>
      </c>
      <c r="AJ263">
        <v>30.5</v>
      </c>
      <c r="AK263">
        <v>30.68</v>
      </c>
    </row>
    <row r="264" spans="1:37" x14ac:dyDescent="0.2">
      <c r="A264" t="s">
        <v>441</v>
      </c>
      <c r="B264">
        <v>1140573</v>
      </c>
      <c r="C264" s="1">
        <v>235</v>
      </c>
      <c r="D264" s="1">
        <v>1822776</v>
      </c>
      <c r="E264" t="s">
        <v>442</v>
      </c>
      <c r="G264" s="1">
        <v>3487680</v>
      </c>
      <c r="H264" s="1">
        <v>1730989</v>
      </c>
      <c r="I264" s="1">
        <v>237112</v>
      </c>
      <c r="J264" s="1">
        <v>123001</v>
      </c>
      <c r="K264" s="1">
        <v>3170068</v>
      </c>
      <c r="L264" s="1">
        <v>1582883</v>
      </c>
      <c r="M264" s="1">
        <v>200585</v>
      </c>
      <c r="N264" s="1">
        <v>147996</v>
      </c>
      <c r="O264" s="1">
        <v>3731879</v>
      </c>
      <c r="P264" s="1">
        <v>1782344</v>
      </c>
      <c r="Q264" s="1">
        <v>67771</v>
      </c>
      <c r="R264" s="1">
        <v>32335</v>
      </c>
      <c r="S264" s="1">
        <v>3681291</v>
      </c>
      <c r="T264" s="1">
        <v>1760287</v>
      </c>
      <c r="U264" s="1">
        <v>64693</v>
      </c>
      <c r="V264" s="1">
        <v>37064</v>
      </c>
      <c r="W264" s="1">
        <v>3556592</v>
      </c>
      <c r="X264" s="1">
        <v>1747079</v>
      </c>
      <c r="Y264" s="1">
        <v>60271</v>
      </c>
      <c r="Z264" s="1">
        <v>39993</v>
      </c>
      <c r="AA264" s="1">
        <v>3487680</v>
      </c>
      <c r="AB264" s="1">
        <v>1730989</v>
      </c>
      <c r="AC264" s="1">
        <v>61297</v>
      </c>
      <c r="AD264" s="1">
        <v>67666</v>
      </c>
      <c r="AE264" s="1">
        <v>3537587</v>
      </c>
      <c r="AF264" s="1">
        <v>1670939</v>
      </c>
      <c r="AG264" s="1">
        <v>61140</v>
      </c>
      <c r="AH264" s="1">
        <v>17631</v>
      </c>
      <c r="AI264">
        <v>5.39</v>
      </c>
      <c r="AJ264">
        <v>26.49</v>
      </c>
      <c r="AK264">
        <v>60.77</v>
      </c>
    </row>
    <row r="265" spans="1:37" x14ac:dyDescent="0.2">
      <c r="A265" t="s">
        <v>443</v>
      </c>
      <c r="B265">
        <v>1170893</v>
      </c>
      <c r="C265" s="1">
        <v>2300</v>
      </c>
      <c r="D265" s="1">
        <v>1401182</v>
      </c>
      <c r="E265" t="s">
        <v>444</v>
      </c>
      <c r="G265" s="1">
        <v>3218498</v>
      </c>
      <c r="H265" s="1">
        <v>562255</v>
      </c>
      <c r="I265" s="1">
        <v>423403</v>
      </c>
      <c r="J265" s="1">
        <v>151879</v>
      </c>
      <c r="K265" s="1">
        <v>2603478</v>
      </c>
      <c r="L265" s="1">
        <v>449995</v>
      </c>
      <c r="M265" s="1">
        <v>332026</v>
      </c>
      <c r="N265" s="1">
        <v>124423</v>
      </c>
      <c r="O265" s="1">
        <v>3820100</v>
      </c>
      <c r="P265" s="1">
        <v>656311</v>
      </c>
      <c r="Q265" s="1">
        <v>137555</v>
      </c>
      <c r="R265" s="1">
        <v>47480</v>
      </c>
      <c r="S265" s="1">
        <v>3754753</v>
      </c>
      <c r="T265" s="1">
        <v>622680</v>
      </c>
      <c r="U265" s="1">
        <v>128520</v>
      </c>
      <c r="V265" s="1">
        <v>43146</v>
      </c>
      <c r="W265" s="1">
        <v>3469580</v>
      </c>
      <c r="X265" s="1">
        <v>587372</v>
      </c>
      <c r="Y265" s="1">
        <v>121818</v>
      </c>
      <c r="Z265" s="1">
        <v>41947</v>
      </c>
      <c r="AA265" s="1">
        <v>3218498</v>
      </c>
      <c r="AB265" s="1">
        <v>562255</v>
      </c>
      <c r="AC265" s="1">
        <v>117023</v>
      </c>
      <c r="AD265" s="1">
        <v>41539</v>
      </c>
      <c r="AE265" s="1">
        <v>3067256</v>
      </c>
      <c r="AF265" s="1">
        <v>534800</v>
      </c>
      <c r="AG265" s="1">
        <v>106256</v>
      </c>
      <c r="AH265" s="1">
        <v>39221</v>
      </c>
      <c r="AI265">
        <v>3.52</v>
      </c>
      <c r="AJ265">
        <v>55.58</v>
      </c>
      <c r="AK265">
        <v>166.09</v>
      </c>
    </row>
    <row r="266" spans="1:37" x14ac:dyDescent="0.2">
      <c r="A266" t="s">
        <v>445</v>
      </c>
      <c r="B266">
        <v>1178474</v>
      </c>
      <c r="C266" s="1">
        <v>172.9</v>
      </c>
      <c r="D266" s="1">
        <v>7945</v>
      </c>
      <c r="E266" t="s">
        <v>38</v>
      </c>
      <c r="G266" s="1">
        <v>34726</v>
      </c>
      <c r="H266" s="1">
        <v>32320</v>
      </c>
      <c r="J266" s="1">
        <v>41</v>
      </c>
      <c r="K266" s="1">
        <v>46887</v>
      </c>
      <c r="L266" s="1">
        <v>44127</v>
      </c>
      <c r="M266" s="1">
        <v>158</v>
      </c>
      <c r="N266" s="1">
        <v>-2766</v>
      </c>
      <c r="S266" s="1">
        <v>30391</v>
      </c>
      <c r="T266" s="1">
        <v>28630</v>
      </c>
      <c r="U266" s="1">
        <v>681</v>
      </c>
      <c r="V266" s="1">
        <v>-3690</v>
      </c>
      <c r="AA266" s="1">
        <v>34726</v>
      </c>
      <c r="AB266" s="1">
        <v>32320</v>
      </c>
      <c r="AD266" s="1">
        <v>849</v>
      </c>
      <c r="AI266">
        <v>-27.96</v>
      </c>
      <c r="AJ266">
        <v>-18.440000000000001</v>
      </c>
      <c r="AK266">
        <v>-32.630000000000003</v>
      </c>
    </row>
    <row r="267" spans="1:37" x14ac:dyDescent="0.2">
      <c r="A267" t="s">
        <v>446</v>
      </c>
      <c r="B267">
        <v>1106749</v>
      </c>
      <c r="C267" s="1">
        <v>1626</v>
      </c>
      <c r="D267" s="1">
        <v>366848</v>
      </c>
      <c r="E267" t="s">
        <v>447</v>
      </c>
      <c r="G267" s="1">
        <v>704031</v>
      </c>
      <c r="H267" s="1">
        <v>185255</v>
      </c>
      <c r="I267" s="1">
        <v>313604</v>
      </c>
      <c r="J267" s="1">
        <v>37307</v>
      </c>
      <c r="K267" s="1">
        <v>552282</v>
      </c>
      <c r="L267" s="1">
        <v>157920</v>
      </c>
      <c r="M267" s="1">
        <v>222636</v>
      </c>
      <c r="N267" s="1">
        <v>19926</v>
      </c>
      <c r="O267" s="1">
        <v>769174</v>
      </c>
      <c r="P267" s="1">
        <v>209311</v>
      </c>
      <c r="Q267" s="1">
        <v>75148</v>
      </c>
      <c r="R267" s="1">
        <v>6187</v>
      </c>
      <c r="S267" s="1">
        <v>787759</v>
      </c>
      <c r="T267" s="1">
        <v>202752</v>
      </c>
      <c r="U267" s="1">
        <v>86963</v>
      </c>
      <c r="V267" s="1">
        <v>8797</v>
      </c>
      <c r="W267" s="1">
        <v>702108</v>
      </c>
      <c r="X267" s="1">
        <v>193478</v>
      </c>
      <c r="Y267" s="1">
        <v>88379</v>
      </c>
      <c r="Z267" s="1">
        <v>7752</v>
      </c>
      <c r="AA267" s="1">
        <v>704031</v>
      </c>
      <c r="AB267" s="1">
        <v>185255</v>
      </c>
      <c r="AC267" s="1">
        <v>88275</v>
      </c>
      <c r="AD267" s="1">
        <v>12365</v>
      </c>
      <c r="AE267" s="1">
        <v>600194</v>
      </c>
      <c r="AF267" s="1">
        <v>171958</v>
      </c>
      <c r="AG267" s="1">
        <v>85863</v>
      </c>
      <c r="AH267" s="1">
        <v>10846</v>
      </c>
      <c r="AI267">
        <v>3.3</v>
      </c>
      <c r="AJ267">
        <v>23.16</v>
      </c>
      <c r="AK267">
        <v>59.11</v>
      </c>
    </row>
    <row r="268" spans="1:37" x14ac:dyDescent="0.2">
      <c r="A268" t="s">
        <v>448</v>
      </c>
      <c r="B268">
        <v>338012</v>
      </c>
      <c r="C268" s="1">
        <v>3131</v>
      </c>
      <c r="D268" s="1">
        <v>411228</v>
      </c>
      <c r="E268" t="s">
        <v>449</v>
      </c>
      <c r="G268" s="1">
        <v>523769</v>
      </c>
      <c r="H268" s="1">
        <v>121188</v>
      </c>
      <c r="I268" s="1">
        <v>663696</v>
      </c>
      <c r="J268" s="1">
        <v>34433</v>
      </c>
      <c r="K268" s="1">
        <v>473885</v>
      </c>
      <c r="L268" s="1">
        <v>94396</v>
      </c>
      <c r="M268" s="1">
        <v>646147</v>
      </c>
      <c r="N268" s="1">
        <v>16283</v>
      </c>
      <c r="O268" s="1">
        <v>506040</v>
      </c>
      <c r="P268" s="1">
        <v>147463</v>
      </c>
      <c r="Q268" s="1">
        <v>180489</v>
      </c>
      <c r="R268" s="1">
        <v>13335</v>
      </c>
      <c r="S268" s="1">
        <v>508760</v>
      </c>
      <c r="T268" s="1">
        <v>135984</v>
      </c>
      <c r="U268" s="1">
        <v>150266</v>
      </c>
      <c r="V268" s="1">
        <v>7660</v>
      </c>
      <c r="W268" s="1">
        <v>528277</v>
      </c>
      <c r="X268" s="1">
        <v>128972</v>
      </c>
      <c r="Y268" s="1">
        <v>153732</v>
      </c>
      <c r="Z268" s="1">
        <v>6058</v>
      </c>
      <c r="AA268" s="1">
        <v>523769</v>
      </c>
      <c r="AB268" s="1">
        <v>121188</v>
      </c>
      <c r="AC268" s="1">
        <v>169005</v>
      </c>
      <c r="AD268" s="1">
        <v>11059</v>
      </c>
      <c r="AE268" s="1">
        <v>517941</v>
      </c>
      <c r="AF268" s="1">
        <v>112413</v>
      </c>
      <c r="AG268" s="1">
        <v>174506</v>
      </c>
      <c r="AH268" s="1">
        <v>11695</v>
      </c>
      <c r="AI268">
        <v>-16.21</v>
      </c>
      <c r="AJ268">
        <v>30.49</v>
      </c>
      <c r="AK268">
        <v>348.07</v>
      </c>
    </row>
    <row r="269" spans="1:37" x14ac:dyDescent="0.2">
      <c r="A269" t="s">
        <v>450</v>
      </c>
      <c r="B269">
        <v>257014</v>
      </c>
      <c r="C269" s="1">
        <v>112.7</v>
      </c>
      <c r="D269" s="1">
        <v>23668</v>
      </c>
      <c r="E269" t="s">
        <v>38</v>
      </c>
      <c r="G269" s="1">
        <v>24893</v>
      </c>
      <c r="H269" s="1">
        <v>23399</v>
      </c>
      <c r="J269" s="1">
        <v>-6973</v>
      </c>
      <c r="K269" s="1">
        <v>30125</v>
      </c>
      <c r="L269" s="1">
        <v>28898</v>
      </c>
      <c r="N269" s="1">
        <v>-16231</v>
      </c>
      <c r="S269" s="1">
        <v>19310</v>
      </c>
      <c r="T269" s="1">
        <v>17698</v>
      </c>
      <c r="V269" s="1">
        <v>-6612</v>
      </c>
      <c r="AA269" s="1">
        <v>24893</v>
      </c>
      <c r="AB269" s="1">
        <v>23399</v>
      </c>
      <c r="AD269" s="1">
        <v>-9898</v>
      </c>
      <c r="AI269">
        <v>45.19</v>
      </c>
      <c r="AJ269">
        <v>89.85</v>
      </c>
      <c r="AK269">
        <v>-33.17</v>
      </c>
    </row>
    <row r="270" spans="1:37" x14ac:dyDescent="0.2">
      <c r="A270" t="s">
        <v>451</v>
      </c>
      <c r="B270">
        <v>208017</v>
      </c>
      <c r="C270" s="1">
        <v>5181</v>
      </c>
      <c r="D270" s="1">
        <v>1697191</v>
      </c>
      <c r="E270" t="s">
        <v>216</v>
      </c>
      <c r="G270" s="1">
        <v>4130057</v>
      </c>
      <c r="H270" s="1">
        <v>911935</v>
      </c>
      <c r="I270" s="1">
        <v>375030</v>
      </c>
      <c r="J270" s="1">
        <v>156812</v>
      </c>
      <c r="K270" s="1">
        <v>3403339</v>
      </c>
      <c r="L270" s="1">
        <v>810710</v>
      </c>
      <c r="M270" s="1">
        <v>372366</v>
      </c>
      <c r="N270" s="1">
        <v>142700</v>
      </c>
      <c r="O270" s="1">
        <v>4869748</v>
      </c>
      <c r="P270" s="1">
        <v>993699</v>
      </c>
      <c r="Q270" s="1">
        <v>117415</v>
      </c>
      <c r="R270" s="1">
        <v>106097</v>
      </c>
      <c r="S270" s="1">
        <v>5018193</v>
      </c>
      <c r="T270" s="1">
        <v>960675</v>
      </c>
      <c r="U270" s="1">
        <v>109324</v>
      </c>
      <c r="V270" s="1">
        <v>40478</v>
      </c>
      <c r="W270" s="1">
        <v>4319401</v>
      </c>
      <c r="X270" s="1">
        <v>930600</v>
      </c>
      <c r="Y270" s="1">
        <v>104834</v>
      </c>
      <c r="Z270" s="1">
        <v>43096</v>
      </c>
      <c r="AA270" s="1">
        <v>4130057</v>
      </c>
      <c r="AB270" s="1">
        <v>911935</v>
      </c>
      <c r="AC270" s="1">
        <v>103121</v>
      </c>
      <c r="AD270" s="1">
        <v>41926</v>
      </c>
      <c r="AE270" s="1">
        <v>3648837</v>
      </c>
      <c r="AF270" s="1">
        <v>862561</v>
      </c>
      <c r="AG270" s="1">
        <v>96392</v>
      </c>
      <c r="AH270" s="1">
        <v>38312</v>
      </c>
      <c r="AI270">
        <v>-8.35</v>
      </c>
      <c r="AJ270">
        <v>60.52</v>
      </c>
      <c r="AK270">
        <v>138.47</v>
      </c>
    </row>
    <row r="271" spans="1:37" x14ac:dyDescent="0.2">
      <c r="A271" t="s">
        <v>452</v>
      </c>
      <c r="B271">
        <v>1140151</v>
      </c>
      <c r="C271" s="1">
        <v>130</v>
      </c>
      <c r="D271" s="1">
        <v>664137</v>
      </c>
      <c r="E271" t="s">
        <v>453</v>
      </c>
      <c r="G271" s="1">
        <v>3037075</v>
      </c>
      <c r="H271" s="1">
        <v>368375</v>
      </c>
      <c r="I271" s="1">
        <v>2021602</v>
      </c>
      <c r="J271" s="1">
        <v>39538</v>
      </c>
      <c r="K271" s="1">
        <v>2788574</v>
      </c>
      <c r="L271" s="1">
        <v>371080</v>
      </c>
      <c r="M271" s="1">
        <v>1643489</v>
      </c>
      <c r="N271" s="1">
        <v>-42003</v>
      </c>
      <c r="O271" s="1">
        <v>3059760</v>
      </c>
      <c r="P271" s="1">
        <v>372014</v>
      </c>
      <c r="Q271" s="1">
        <v>483585</v>
      </c>
      <c r="R271" s="1">
        <v>3954</v>
      </c>
      <c r="S271" s="1">
        <v>3057654</v>
      </c>
      <c r="T271" s="1">
        <v>376242</v>
      </c>
      <c r="U271" s="1">
        <v>441693</v>
      </c>
      <c r="V271" s="1">
        <v>4778</v>
      </c>
      <c r="W271" s="1">
        <v>3117389</v>
      </c>
      <c r="X271" s="1">
        <v>370367</v>
      </c>
      <c r="Y271" s="1">
        <v>506854</v>
      </c>
      <c r="Z271" s="1">
        <v>1012</v>
      </c>
      <c r="AA271" s="1">
        <v>3037075</v>
      </c>
      <c r="AB271" s="1">
        <v>368375</v>
      </c>
      <c r="AC271" s="1">
        <v>538937</v>
      </c>
      <c r="AD271" s="1">
        <v>2658</v>
      </c>
      <c r="AE271" s="1">
        <v>3162386</v>
      </c>
      <c r="AF271" s="1">
        <v>377783</v>
      </c>
      <c r="AG271" s="1">
        <v>550926</v>
      </c>
      <c r="AH271" s="1">
        <v>11625</v>
      </c>
      <c r="AI271">
        <v>-12.05</v>
      </c>
      <c r="AJ271">
        <v>-21.58</v>
      </c>
      <c r="AK271">
        <v>-49.23</v>
      </c>
    </row>
    <row r="272" spans="1:37" x14ac:dyDescent="0.2">
      <c r="A272" t="s">
        <v>454</v>
      </c>
      <c r="B272">
        <v>1175728</v>
      </c>
      <c r="C272" s="1">
        <v>1191</v>
      </c>
      <c r="D272" s="1">
        <v>86014</v>
      </c>
      <c r="E272" t="s">
        <v>38</v>
      </c>
      <c r="G272" s="1">
        <v>18390</v>
      </c>
      <c r="H272" s="1">
        <v>12827</v>
      </c>
      <c r="I272" s="1">
        <v>253</v>
      </c>
      <c r="J272" s="1">
        <v>-9665</v>
      </c>
      <c r="K272" s="1">
        <v>21834</v>
      </c>
      <c r="L272" s="1">
        <v>16076</v>
      </c>
      <c r="N272" s="1">
        <v>-12861</v>
      </c>
      <c r="S272" s="1">
        <v>14092</v>
      </c>
      <c r="T272" s="1">
        <v>8943</v>
      </c>
      <c r="U272" s="1">
        <v>96</v>
      </c>
      <c r="V272" s="1">
        <v>-4049</v>
      </c>
      <c r="AA272" s="1">
        <v>18390</v>
      </c>
      <c r="AB272" s="1">
        <v>12827</v>
      </c>
      <c r="AC272" s="1">
        <v>90</v>
      </c>
      <c r="AD272" s="1">
        <v>-4258</v>
      </c>
      <c r="AI272">
        <v>36.9</v>
      </c>
      <c r="AJ272">
        <v>94.06</v>
      </c>
      <c r="AK272">
        <v>-65.42</v>
      </c>
    </row>
    <row r="273" spans="1:37" x14ac:dyDescent="0.2">
      <c r="A273" t="s">
        <v>455</v>
      </c>
      <c r="B273">
        <v>723007</v>
      </c>
      <c r="C273" s="1">
        <v>986.4</v>
      </c>
      <c r="D273" s="1">
        <v>615044</v>
      </c>
      <c r="E273" t="s">
        <v>38</v>
      </c>
      <c r="G273" s="1">
        <v>36072000</v>
      </c>
      <c r="H273" s="1">
        <v>1317000</v>
      </c>
      <c r="I273" s="1">
        <v>2533000</v>
      </c>
      <c r="J273" s="1">
        <v>-57000</v>
      </c>
      <c r="K273" s="1">
        <v>39004000</v>
      </c>
      <c r="L273" s="1">
        <v>1773000</v>
      </c>
      <c r="M273" s="1">
        <v>2438000</v>
      </c>
      <c r="N273" s="1">
        <v>-665000</v>
      </c>
      <c r="S273" s="1">
        <v>35238000</v>
      </c>
      <c r="T273" s="1">
        <v>1322000</v>
      </c>
      <c r="U273" s="1">
        <v>589000</v>
      </c>
      <c r="V273" s="1">
        <v>97000</v>
      </c>
      <c r="W273" s="1">
        <v>36509000</v>
      </c>
      <c r="X273" s="1">
        <v>1398000</v>
      </c>
      <c r="Y273" s="1">
        <v>569000</v>
      </c>
      <c r="Z273" s="1">
        <v>-128000</v>
      </c>
      <c r="AA273" s="1">
        <v>36072000</v>
      </c>
      <c r="AB273" s="1">
        <v>1317000</v>
      </c>
      <c r="AC273" s="1">
        <v>637000</v>
      </c>
      <c r="AD273" s="1">
        <v>-41000</v>
      </c>
      <c r="AE273" s="1">
        <v>39261000</v>
      </c>
      <c r="AF273" s="1">
        <v>1864000</v>
      </c>
      <c r="AG273" s="1">
        <v>643000</v>
      </c>
      <c r="AH273" s="1">
        <v>-81000</v>
      </c>
      <c r="AI273">
        <v>-14.72</v>
      </c>
      <c r="AJ273">
        <v>-29.05</v>
      </c>
      <c r="AK273">
        <v>-51.45</v>
      </c>
    </row>
    <row r="274" spans="1:37" x14ac:dyDescent="0.2">
      <c r="A274" t="s">
        <v>456</v>
      </c>
      <c r="B274">
        <v>168013</v>
      </c>
      <c r="C274" s="1">
        <v>22600</v>
      </c>
      <c r="D274" s="1">
        <v>840633</v>
      </c>
      <c r="E274" t="s">
        <v>457</v>
      </c>
      <c r="G274" s="1">
        <v>2073051</v>
      </c>
      <c r="H274" s="1">
        <v>354071</v>
      </c>
      <c r="I274" s="1">
        <v>4811703</v>
      </c>
      <c r="J274" s="1">
        <v>81400</v>
      </c>
      <c r="K274" s="1">
        <v>1925553</v>
      </c>
      <c r="L274" s="1">
        <v>270648</v>
      </c>
      <c r="M274" s="1">
        <v>4375583</v>
      </c>
      <c r="N274" s="1">
        <v>43033</v>
      </c>
      <c r="O274" s="1">
        <v>2531764</v>
      </c>
      <c r="P274" s="1">
        <v>456858</v>
      </c>
      <c r="Q274" s="1">
        <v>1421089</v>
      </c>
      <c r="R274" s="1">
        <v>21762</v>
      </c>
      <c r="S274" s="1">
        <v>2167743</v>
      </c>
      <c r="T274" s="1">
        <v>396948</v>
      </c>
      <c r="U274" s="1">
        <v>1222877</v>
      </c>
      <c r="V274" s="1">
        <v>20918</v>
      </c>
      <c r="W274" s="1">
        <v>2269411</v>
      </c>
      <c r="X274" s="1">
        <v>377819</v>
      </c>
      <c r="Y274" s="1">
        <v>1300071</v>
      </c>
      <c r="Z274" s="1">
        <v>22888</v>
      </c>
      <c r="AA274" s="1">
        <v>2073051</v>
      </c>
      <c r="AB274" s="1">
        <v>354071</v>
      </c>
      <c r="AC274" s="1">
        <v>1132750</v>
      </c>
      <c r="AD274" s="1">
        <v>8928</v>
      </c>
      <c r="AE274" s="1">
        <v>2136070</v>
      </c>
      <c r="AF274" s="1">
        <v>344076</v>
      </c>
      <c r="AG274" s="1">
        <v>1278897</v>
      </c>
      <c r="AH274" s="1">
        <v>31034</v>
      </c>
      <c r="AI274">
        <v>17.760000000000002</v>
      </c>
      <c r="AJ274">
        <v>142.19</v>
      </c>
      <c r="AK274">
        <v>47.12</v>
      </c>
    </row>
    <row r="275" spans="1:37" x14ac:dyDescent="0.2">
      <c r="A275" t="s">
        <v>458</v>
      </c>
      <c r="B275">
        <v>660019</v>
      </c>
      <c r="C275" s="1">
        <v>1022</v>
      </c>
      <c r="D275" s="1">
        <v>92834</v>
      </c>
      <c r="E275" t="s">
        <v>38</v>
      </c>
      <c r="G275" s="1">
        <v>707878</v>
      </c>
      <c r="H275" s="1">
        <v>230238</v>
      </c>
      <c r="I275" s="1">
        <v>664079</v>
      </c>
      <c r="J275" s="1">
        <v>7906</v>
      </c>
      <c r="K275" s="1">
        <v>705981</v>
      </c>
      <c r="L275" s="1">
        <v>228678</v>
      </c>
      <c r="M275" s="1">
        <v>733914</v>
      </c>
      <c r="N275" s="1">
        <v>5649</v>
      </c>
      <c r="O275" s="1">
        <v>654437</v>
      </c>
      <c r="P275" s="1">
        <v>199844</v>
      </c>
      <c r="Q275" s="1">
        <v>179994</v>
      </c>
      <c r="R275" s="1">
        <v>2666</v>
      </c>
      <c r="S275" s="1">
        <v>658278</v>
      </c>
      <c r="T275" s="1">
        <v>217489</v>
      </c>
      <c r="U275" s="1">
        <v>166180</v>
      </c>
      <c r="V275" s="1">
        <v>3074</v>
      </c>
      <c r="W275" s="1">
        <v>705938</v>
      </c>
      <c r="X275" s="1">
        <v>232765</v>
      </c>
      <c r="Y275" s="1">
        <v>157878</v>
      </c>
      <c r="Z275" s="1">
        <v>-1981</v>
      </c>
      <c r="AA275" s="1">
        <v>707878</v>
      </c>
      <c r="AB275" s="1">
        <v>230238</v>
      </c>
      <c r="AC275" s="1">
        <v>136667</v>
      </c>
      <c r="AD275" s="1">
        <v>-3758</v>
      </c>
      <c r="AE275" s="1">
        <v>724055</v>
      </c>
      <c r="AF275" s="1">
        <v>245215</v>
      </c>
      <c r="AG275" s="1">
        <v>167225</v>
      </c>
      <c r="AH275" s="1">
        <v>40</v>
      </c>
      <c r="AI275">
        <v>4.92</v>
      </c>
      <c r="AJ275">
        <v>-22.71</v>
      </c>
      <c r="AK275">
        <v>3.24</v>
      </c>
    </row>
    <row r="276" spans="1:37" x14ac:dyDescent="0.2">
      <c r="A276" t="s">
        <v>459</v>
      </c>
      <c r="B276">
        <v>643015</v>
      </c>
      <c r="C276" s="1">
        <v>2531</v>
      </c>
      <c r="D276" s="1">
        <v>2396588</v>
      </c>
      <c r="E276" t="s">
        <v>460</v>
      </c>
      <c r="G276" s="1">
        <v>5953574</v>
      </c>
      <c r="H276" s="1">
        <v>1225652</v>
      </c>
      <c r="I276" s="1">
        <v>2453313</v>
      </c>
      <c r="J276" s="1">
        <v>337724</v>
      </c>
      <c r="K276" s="1">
        <v>5725689</v>
      </c>
      <c r="L276" s="1">
        <v>1075813</v>
      </c>
      <c r="M276" s="1">
        <v>2044536</v>
      </c>
      <c r="N276" s="1">
        <v>166041</v>
      </c>
      <c r="S276" s="1">
        <v>5654379</v>
      </c>
      <c r="T276" s="1">
        <v>1267852</v>
      </c>
      <c r="U276" s="1">
        <v>624189</v>
      </c>
      <c r="V276" s="1">
        <v>43734</v>
      </c>
      <c r="W276" s="1">
        <v>6275908</v>
      </c>
      <c r="X276" s="1">
        <v>1298059</v>
      </c>
      <c r="Y276" s="1">
        <v>635018</v>
      </c>
      <c r="Z276" s="1">
        <v>36474</v>
      </c>
      <c r="AA276" s="1">
        <v>5953574</v>
      </c>
      <c r="AB276" s="1">
        <v>1225652</v>
      </c>
      <c r="AC276" s="1">
        <v>644112</v>
      </c>
      <c r="AD276" s="1">
        <v>36635</v>
      </c>
      <c r="AE276" s="1">
        <v>6314354</v>
      </c>
      <c r="AF276" s="1">
        <v>1400634</v>
      </c>
      <c r="AG276" s="1">
        <v>656324</v>
      </c>
      <c r="AH276" s="1">
        <v>51044</v>
      </c>
      <c r="AI276">
        <v>-2.76</v>
      </c>
      <c r="AJ276">
        <v>5.53</v>
      </c>
      <c r="AK276">
        <v>78.05</v>
      </c>
    </row>
    <row r="277" spans="1:37" x14ac:dyDescent="0.2">
      <c r="A277" t="s">
        <v>461</v>
      </c>
      <c r="B277">
        <v>1171933</v>
      </c>
      <c r="C277" s="1">
        <v>5535</v>
      </c>
      <c r="D277" s="1">
        <v>8538</v>
      </c>
      <c r="E277" t="s">
        <v>38</v>
      </c>
      <c r="G277" s="1">
        <v>10043.84</v>
      </c>
      <c r="H277" s="1">
        <v>4744.75</v>
      </c>
      <c r="I277" s="1">
        <v>634.58000000000004</v>
      </c>
      <c r="J277" s="1">
        <v>-19387.45</v>
      </c>
      <c r="K277" s="1">
        <v>31707.23</v>
      </c>
      <c r="L277" s="1">
        <v>18145.88</v>
      </c>
      <c r="M277" s="1">
        <v>1026.44</v>
      </c>
      <c r="N277" s="1">
        <v>-15429.26</v>
      </c>
      <c r="S277" s="1">
        <v>3436.07</v>
      </c>
      <c r="T277" s="1">
        <v>16.86</v>
      </c>
      <c r="U277" s="1">
        <v>495.68</v>
      </c>
      <c r="V277" s="1">
        <v>-9414.6200000000008</v>
      </c>
      <c r="AA277" s="1">
        <v>10043.84</v>
      </c>
      <c r="AB277" s="1">
        <v>4744.75</v>
      </c>
      <c r="AC277" s="1">
        <v>364.7</v>
      </c>
      <c r="AD277" s="1">
        <v>-10609.12</v>
      </c>
      <c r="AI277">
        <v>-56.52</v>
      </c>
      <c r="AJ277">
        <v>-59.42</v>
      </c>
      <c r="AK277">
        <v>-98.04</v>
      </c>
    </row>
    <row r="278" spans="1:37" x14ac:dyDescent="0.2">
      <c r="A278" t="s">
        <v>462</v>
      </c>
      <c r="B278">
        <v>1095785</v>
      </c>
      <c r="C278" s="1">
        <v>719.7</v>
      </c>
      <c r="D278" s="1">
        <v>102852</v>
      </c>
      <c r="E278" t="s">
        <v>463</v>
      </c>
      <c r="G278" s="1">
        <v>363021</v>
      </c>
      <c r="H278" s="1">
        <v>138720</v>
      </c>
      <c r="I278" s="1">
        <v>447246</v>
      </c>
      <c r="J278" s="1">
        <v>8677</v>
      </c>
      <c r="K278" s="1">
        <v>365877</v>
      </c>
      <c r="L278" s="1">
        <v>130627</v>
      </c>
      <c r="M278" s="1">
        <v>472079</v>
      </c>
      <c r="N278" s="1">
        <v>17164</v>
      </c>
      <c r="O278" s="1">
        <v>356576</v>
      </c>
      <c r="P278" s="1">
        <v>129925</v>
      </c>
      <c r="Q278" s="1">
        <v>113208</v>
      </c>
      <c r="R278" s="1">
        <v>503</v>
      </c>
      <c r="S278" s="1">
        <v>328454</v>
      </c>
      <c r="T278" s="1">
        <v>129734</v>
      </c>
      <c r="U278" s="1">
        <v>114760</v>
      </c>
      <c r="V278" s="1">
        <v>-6031</v>
      </c>
      <c r="W278" s="1">
        <v>373189</v>
      </c>
      <c r="X278" s="1">
        <v>136839</v>
      </c>
      <c r="Y278" s="1">
        <v>100399</v>
      </c>
      <c r="Z278" s="1">
        <v>1312</v>
      </c>
      <c r="AA278" s="1">
        <v>363021</v>
      </c>
      <c r="AB278" s="1">
        <v>138720</v>
      </c>
      <c r="AC278" s="1">
        <v>126563</v>
      </c>
      <c r="AD278" s="1">
        <v>2305</v>
      </c>
      <c r="AE278" s="1">
        <v>353927</v>
      </c>
      <c r="AF278" s="1">
        <v>137226</v>
      </c>
      <c r="AG278" s="1">
        <v>125925</v>
      </c>
      <c r="AH278" s="1">
        <v>5261</v>
      </c>
      <c r="AI278">
        <v>-18.850000000000001</v>
      </c>
      <c r="AJ278">
        <v>34.340000000000003</v>
      </c>
      <c r="AK278">
        <v>59.85</v>
      </c>
    </row>
    <row r="279" spans="1:37" x14ac:dyDescent="0.2">
      <c r="A279" t="s">
        <v>464</v>
      </c>
      <c r="B279">
        <v>421016</v>
      </c>
      <c r="C279" s="1">
        <v>1291</v>
      </c>
      <c r="D279" s="1">
        <v>364401</v>
      </c>
      <c r="E279" t="s">
        <v>38</v>
      </c>
      <c r="G279" s="1">
        <v>1684859</v>
      </c>
      <c r="H279" s="1">
        <v>289126</v>
      </c>
      <c r="I279" s="1">
        <v>139413</v>
      </c>
      <c r="J279" s="1">
        <v>-9603</v>
      </c>
      <c r="K279" s="1">
        <v>1372314</v>
      </c>
      <c r="L279" s="1">
        <v>299440</v>
      </c>
      <c r="M279" s="1">
        <v>362790</v>
      </c>
      <c r="N279" s="1">
        <v>128745</v>
      </c>
      <c r="O279" s="1">
        <v>1863962</v>
      </c>
      <c r="P279" s="1">
        <v>275326</v>
      </c>
      <c r="Q279" s="1">
        <v>92604</v>
      </c>
      <c r="R279" s="1">
        <v>-8293</v>
      </c>
      <c r="S279" s="1">
        <v>1906654</v>
      </c>
      <c r="T279" s="1">
        <v>285919</v>
      </c>
      <c r="U279" s="1">
        <v>46240</v>
      </c>
      <c r="V279" s="1">
        <v>5277</v>
      </c>
      <c r="W279" s="1">
        <v>1772314</v>
      </c>
      <c r="X279" s="1">
        <v>286849</v>
      </c>
      <c r="Y279" s="1">
        <v>34163</v>
      </c>
      <c r="Z279" s="1">
        <v>-3531</v>
      </c>
      <c r="AA279" s="1">
        <v>1684859</v>
      </c>
      <c r="AB279" s="1">
        <v>289126</v>
      </c>
      <c r="AC279" s="1">
        <v>50403</v>
      </c>
      <c r="AD279" s="1">
        <v>-992</v>
      </c>
      <c r="AE279" s="1">
        <v>1644503</v>
      </c>
      <c r="AF279" s="1">
        <v>292274</v>
      </c>
      <c r="AG279" s="1">
        <v>38739</v>
      </c>
      <c r="AH279" s="1">
        <v>-318</v>
      </c>
      <c r="AI279">
        <v>4.32</v>
      </c>
      <c r="AJ279">
        <v>2.27</v>
      </c>
      <c r="AK279">
        <v>126.34</v>
      </c>
    </row>
    <row r="280" spans="1:37" x14ac:dyDescent="0.2">
      <c r="A280" t="s">
        <v>465</v>
      </c>
      <c r="B280">
        <v>1194513</v>
      </c>
      <c r="C280" s="1">
        <v>211.4</v>
      </c>
      <c r="D280" s="1">
        <v>93197</v>
      </c>
      <c r="E280" t="s">
        <v>38</v>
      </c>
      <c r="G280" s="1">
        <v>708551</v>
      </c>
      <c r="H280" s="1">
        <v>164223</v>
      </c>
      <c r="I280" s="1">
        <v>33821</v>
      </c>
      <c r="J280" s="1">
        <v>-10793</v>
      </c>
      <c r="K280" s="1">
        <v>682274</v>
      </c>
      <c r="L280" s="1">
        <v>136172</v>
      </c>
      <c r="M280" s="1">
        <v>32915</v>
      </c>
      <c r="N280" s="1">
        <v>-5102</v>
      </c>
      <c r="S280" s="1">
        <v>595733</v>
      </c>
      <c r="T280" s="1">
        <v>164500</v>
      </c>
      <c r="U280" s="1">
        <v>13575</v>
      </c>
      <c r="V280" s="1">
        <v>277</v>
      </c>
      <c r="AA280" s="1">
        <v>708551</v>
      </c>
      <c r="AB280" s="1">
        <v>164223</v>
      </c>
      <c r="AC280" s="1">
        <v>17016</v>
      </c>
      <c r="AD280" s="1">
        <v>-7582</v>
      </c>
      <c r="AI280">
        <v>-12.88</v>
      </c>
      <c r="AJ280">
        <v>-8.15</v>
      </c>
      <c r="AK280">
        <v>0</v>
      </c>
    </row>
    <row r="281" spans="1:37" x14ac:dyDescent="0.2">
      <c r="A281" t="s">
        <v>466</v>
      </c>
      <c r="B281">
        <v>1082353</v>
      </c>
      <c r="C281" s="1">
        <v>162.1</v>
      </c>
      <c r="D281" s="1">
        <v>355784</v>
      </c>
      <c r="E281" t="s">
        <v>467</v>
      </c>
      <c r="G281" s="1">
        <v>489680</v>
      </c>
      <c r="H281" s="1">
        <v>256185</v>
      </c>
      <c r="I281" s="1">
        <v>1057419</v>
      </c>
      <c r="J281" s="1">
        <v>48003</v>
      </c>
      <c r="K281" s="1">
        <v>439610</v>
      </c>
      <c r="L281" s="1">
        <v>227269</v>
      </c>
      <c r="M281" s="1">
        <v>853701</v>
      </c>
      <c r="N281" s="1">
        <v>22336</v>
      </c>
      <c r="O281" s="1">
        <v>486881</v>
      </c>
      <c r="P281" s="1">
        <v>258237</v>
      </c>
      <c r="Q281" s="1">
        <v>249826</v>
      </c>
      <c r="R281" s="1">
        <v>8051</v>
      </c>
      <c r="S281" s="1">
        <v>479908</v>
      </c>
      <c r="T281" s="1">
        <v>254398</v>
      </c>
      <c r="U281" s="1">
        <v>228732</v>
      </c>
      <c r="V281" s="1">
        <v>8257</v>
      </c>
      <c r="W281" s="1">
        <v>540301</v>
      </c>
      <c r="X281" s="1">
        <v>256107</v>
      </c>
      <c r="Y281" s="1">
        <v>282277</v>
      </c>
      <c r="Z281" s="1">
        <v>11857</v>
      </c>
      <c r="AA281" s="1">
        <v>489680</v>
      </c>
      <c r="AB281" s="1">
        <v>256185</v>
      </c>
      <c r="AC281" s="1">
        <v>226247</v>
      </c>
      <c r="AD281" s="1">
        <v>11866</v>
      </c>
      <c r="AE281" s="1">
        <v>491111</v>
      </c>
      <c r="AF281" s="1">
        <v>253769</v>
      </c>
      <c r="AG281" s="1">
        <v>256998</v>
      </c>
      <c r="AH281" s="1">
        <v>8790</v>
      </c>
      <c r="AI281">
        <v>11.28</v>
      </c>
      <c r="AJ281">
        <v>56.16</v>
      </c>
      <c r="AK281">
        <v>59.93</v>
      </c>
    </row>
    <row r="282" spans="1:37" x14ac:dyDescent="0.2">
      <c r="A282" t="s">
        <v>468</v>
      </c>
      <c r="B282">
        <v>1098755</v>
      </c>
      <c r="C282" s="1">
        <v>819.8</v>
      </c>
      <c r="D282" s="1">
        <v>316339</v>
      </c>
      <c r="E282" t="s">
        <v>38</v>
      </c>
      <c r="G282" s="1">
        <v>829707</v>
      </c>
      <c r="H282" s="1">
        <v>259833</v>
      </c>
      <c r="I282" s="1">
        <v>174640</v>
      </c>
      <c r="J282" s="1">
        <v>6407</v>
      </c>
      <c r="K282" s="1">
        <v>862496</v>
      </c>
      <c r="L282" s="1">
        <v>253904</v>
      </c>
      <c r="M282" s="1">
        <v>184326</v>
      </c>
      <c r="N282" s="1">
        <v>6071</v>
      </c>
      <c r="O282" s="1">
        <v>783629</v>
      </c>
      <c r="P282" s="1">
        <v>222027</v>
      </c>
      <c r="Q282" s="1">
        <v>36073</v>
      </c>
      <c r="R282" s="1">
        <v>-1888</v>
      </c>
      <c r="S282" s="1">
        <v>814434</v>
      </c>
      <c r="T282" s="1">
        <v>229318</v>
      </c>
      <c r="U282" s="1">
        <v>38945</v>
      </c>
      <c r="V282" s="1">
        <v>-10095</v>
      </c>
      <c r="W282" s="1">
        <v>821556</v>
      </c>
      <c r="X282" s="1">
        <v>248238</v>
      </c>
      <c r="Y282" s="1">
        <v>31675</v>
      </c>
      <c r="Z282" s="1">
        <v>-16447</v>
      </c>
      <c r="AA282" s="1">
        <v>829707</v>
      </c>
      <c r="AB282" s="1">
        <v>259833</v>
      </c>
      <c r="AC282" s="1">
        <v>43187</v>
      </c>
      <c r="AD282" s="1">
        <v>-15547</v>
      </c>
      <c r="AE282" s="1">
        <v>876618</v>
      </c>
      <c r="AF282" s="1">
        <v>283275</v>
      </c>
      <c r="AG282" s="1">
        <v>42300</v>
      </c>
      <c r="AH282" s="1">
        <v>5603</v>
      </c>
      <c r="AI282">
        <v>-5.75</v>
      </c>
      <c r="AJ282">
        <v>37.630000000000003</v>
      </c>
      <c r="AK282">
        <v>21.48</v>
      </c>
    </row>
    <row r="283" spans="1:37" x14ac:dyDescent="0.2">
      <c r="A283" t="s">
        <v>469</v>
      </c>
      <c r="B283">
        <v>1169978</v>
      </c>
      <c r="C283" s="1">
        <v>187.8</v>
      </c>
      <c r="D283" s="1">
        <v>4482</v>
      </c>
      <c r="E283" t="s">
        <v>38</v>
      </c>
      <c r="G283" s="1">
        <v>11778</v>
      </c>
      <c r="H283" s="1">
        <v>10625</v>
      </c>
      <c r="J283" s="1">
        <v>-10704</v>
      </c>
      <c r="K283" s="1">
        <v>20767</v>
      </c>
      <c r="L283" s="1">
        <v>19165</v>
      </c>
      <c r="N283" s="1">
        <v>-13263</v>
      </c>
      <c r="S283" s="1">
        <v>6649</v>
      </c>
      <c r="T283" s="1">
        <v>5809</v>
      </c>
      <c r="V283" s="1">
        <v>-4922</v>
      </c>
      <c r="AA283" s="1">
        <v>11778</v>
      </c>
      <c r="AB283" s="1">
        <v>10625</v>
      </c>
      <c r="AD283" s="1">
        <v>-5305</v>
      </c>
      <c r="AI283">
        <v>-25.14</v>
      </c>
      <c r="AJ283">
        <v>-50.53</v>
      </c>
      <c r="AK283">
        <v>-91.65</v>
      </c>
    </row>
    <row r="284" spans="1:37" x14ac:dyDescent="0.2">
      <c r="A284" t="s">
        <v>470</v>
      </c>
      <c r="B284">
        <v>1172287</v>
      </c>
      <c r="C284" s="1">
        <v>5345</v>
      </c>
      <c r="D284" s="1">
        <v>1067503</v>
      </c>
      <c r="E284" t="s">
        <v>38</v>
      </c>
      <c r="G284" s="1">
        <v>1524741</v>
      </c>
      <c r="H284" s="1">
        <v>222003</v>
      </c>
      <c r="I284" s="1">
        <v>105720</v>
      </c>
      <c r="J284" s="1">
        <v>-52431</v>
      </c>
      <c r="K284" s="1">
        <v>1355660</v>
      </c>
      <c r="L284" s="1">
        <v>289454</v>
      </c>
      <c r="M284" s="1">
        <v>47671</v>
      </c>
      <c r="N284" s="1">
        <v>10181</v>
      </c>
      <c r="O284" s="1">
        <v>1774247</v>
      </c>
      <c r="P284" s="1">
        <v>238888</v>
      </c>
      <c r="Q284" s="1">
        <v>28145</v>
      </c>
      <c r="R284" s="1">
        <v>-9903</v>
      </c>
      <c r="S284" s="1">
        <v>1704729</v>
      </c>
      <c r="T284" s="1">
        <v>246289</v>
      </c>
      <c r="U284" s="1">
        <v>20815</v>
      </c>
      <c r="V284" s="1">
        <v>-10966</v>
      </c>
      <c r="W284" s="1">
        <v>1711466</v>
      </c>
      <c r="X284" s="1">
        <v>256444</v>
      </c>
      <c r="Y284" s="1">
        <v>18143</v>
      </c>
      <c r="Z284" s="1">
        <v>31055</v>
      </c>
      <c r="AA284" s="1">
        <v>1524741</v>
      </c>
      <c r="AB284" s="1">
        <v>222003</v>
      </c>
      <c r="AC284" s="1">
        <v>43514</v>
      </c>
      <c r="AD284" s="1">
        <v>-62475</v>
      </c>
      <c r="AE284" s="1">
        <v>1592618</v>
      </c>
      <c r="AF284" s="1">
        <v>301330</v>
      </c>
      <c r="AG284" s="1">
        <v>30060</v>
      </c>
      <c r="AH284" s="1">
        <v>11286</v>
      </c>
      <c r="AI284">
        <v>36.700000000000003</v>
      </c>
      <c r="AJ284">
        <v>49.49</v>
      </c>
      <c r="AK284">
        <v>51.5</v>
      </c>
    </row>
    <row r="285" spans="1:37" x14ac:dyDescent="0.2">
      <c r="A285" t="s">
        <v>471</v>
      </c>
      <c r="B285">
        <v>169011</v>
      </c>
      <c r="C285" s="1">
        <v>292.8</v>
      </c>
      <c r="D285" s="1">
        <v>17001</v>
      </c>
      <c r="E285" t="s">
        <v>38</v>
      </c>
      <c r="G285" s="1">
        <v>5831.27</v>
      </c>
      <c r="H285" s="1">
        <v>-12771.09</v>
      </c>
      <c r="I285" s="1">
        <v>2741</v>
      </c>
      <c r="J285" s="1">
        <v>-15796.82</v>
      </c>
      <c r="K285" s="1">
        <v>2904.4</v>
      </c>
      <c r="L285" s="1">
        <v>-7830.64</v>
      </c>
      <c r="M285" s="1">
        <v>3638.52</v>
      </c>
      <c r="N285" s="1">
        <v>-7521.75</v>
      </c>
      <c r="S285" s="1">
        <v>4109.45</v>
      </c>
      <c r="T285" s="1">
        <v>-18407.5</v>
      </c>
      <c r="U285" s="1">
        <v>1419.92</v>
      </c>
      <c r="V285" s="1">
        <v>-4951.91</v>
      </c>
      <c r="AA285" s="1">
        <v>5831.27</v>
      </c>
      <c r="AB285" s="1">
        <v>-12771.09</v>
      </c>
      <c r="AC285" s="1">
        <v>1378.09</v>
      </c>
      <c r="AD285" s="1">
        <v>-10857.7</v>
      </c>
      <c r="AI285">
        <v>-15.88</v>
      </c>
      <c r="AJ285">
        <v>-42.85</v>
      </c>
      <c r="AK285">
        <v>-96.78</v>
      </c>
    </row>
    <row r="286" spans="1:37" x14ac:dyDescent="0.2">
      <c r="A286" t="s">
        <v>472</v>
      </c>
      <c r="B286">
        <v>1177518</v>
      </c>
      <c r="C286" s="1">
        <v>1061</v>
      </c>
      <c r="D286" s="1">
        <v>412334</v>
      </c>
      <c r="E286" t="s">
        <v>473</v>
      </c>
      <c r="G286" s="1">
        <v>149024</v>
      </c>
      <c r="H286" s="1">
        <v>60158</v>
      </c>
      <c r="I286" s="1">
        <v>76982</v>
      </c>
      <c r="J286" s="1">
        <v>9878</v>
      </c>
      <c r="K286" s="1">
        <v>96133</v>
      </c>
      <c r="L286" s="1">
        <v>16629</v>
      </c>
      <c r="M286" s="1">
        <v>69406</v>
      </c>
      <c r="N286" s="1">
        <v>9571</v>
      </c>
      <c r="O286" s="1">
        <v>163865</v>
      </c>
      <c r="P286" s="1">
        <v>115619</v>
      </c>
      <c r="Q286" s="1">
        <v>24459</v>
      </c>
      <c r="R286" s="1">
        <v>3194</v>
      </c>
      <c r="S286" s="1">
        <v>159579</v>
      </c>
      <c r="T286" s="1">
        <v>79221</v>
      </c>
      <c r="U286" s="1">
        <v>26754</v>
      </c>
      <c r="V286" s="1">
        <v>6435</v>
      </c>
      <c r="W286" s="1">
        <v>155386</v>
      </c>
      <c r="X286" s="1">
        <v>72103</v>
      </c>
      <c r="Y286" s="1">
        <v>26134</v>
      </c>
      <c r="Z286" s="1">
        <v>6503</v>
      </c>
      <c r="AA286" s="1">
        <v>149024</v>
      </c>
      <c r="AB286" s="1">
        <v>60158</v>
      </c>
      <c r="AC286" s="1">
        <v>41765</v>
      </c>
      <c r="AD286" s="1">
        <v>5103</v>
      </c>
      <c r="AI286">
        <v>19.29</v>
      </c>
      <c r="AJ286">
        <v>110.92</v>
      </c>
      <c r="AK286">
        <v>123.19</v>
      </c>
    </row>
    <row r="287" spans="1:37" x14ac:dyDescent="0.2">
      <c r="A287" t="s">
        <v>474</v>
      </c>
      <c r="B287">
        <v>1170539</v>
      </c>
      <c r="C287" s="1">
        <v>58.1</v>
      </c>
      <c r="D287" s="1">
        <v>9567</v>
      </c>
      <c r="E287" t="s">
        <v>38</v>
      </c>
      <c r="G287" s="1">
        <v>16553.73</v>
      </c>
      <c r="H287" s="1">
        <v>15342.93</v>
      </c>
      <c r="J287" s="1">
        <v>-10430.42</v>
      </c>
      <c r="K287" s="1">
        <v>27978.68</v>
      </c>
      <c r="L287" s="1">
        <v>25211.279999999999</v>
      </c>
      <c r="N287" s="1">
        <v>-13938.56</v>
      </c>
      <c r="S287" s="1">
        <v>11579.45</v>
      </c>
      <c r="T287" s="1">
        <v>10780.28</v>
      </c>
      <c r="V287" s="1">
        <v>-3517</v>
      </c>
      <c r="AA287" s="1">
        <v>16553.73</v>
      </c>
      <c r="AB287" s="1">
        <v>15342.93</v>
      </c>
      <c r="AD287" s="1">
        <v>-4080.99</v>
      </c>
      <c r="AI287">
        <v>-2.4700000000000002</v>
      </c>
      <c r="AJ287">
        <v>-13.2</v>
      </c>
      <c r="AK287">
        <v>-87.22</v>
      </c>
    </row>
    <row r="288" spans="1:37" x14ac:dyDescent="0.2">
      <c r="A288" t="s">
        <v>475</v>
      </c>
      <c r="B288">
        <v>1226877</v>
      </c>
      <c r="C288" s="1">
        <v>4881</v>
      </c>
      <c r="D288" s="1">
        <v>709361</v>
      </c>
      <c r="E288" t="s">
        <v>476</v>
      </c>
      <c r="G288" s="1">
        <v>944118</v>
      </c>
      <c r="H288" s="1">
        <v>668169</v>
      </c>
      <c r="I288" s="1">
        <v>52033</v>
      </c>
      <c r="J288" s="1">
        <v>40020</v>
      </c>
      <c r="K288" s="1">
        <v>918347</v>
      </c>
      <c r="L288" s="1">
        <v>628149</v>
      </c>
      <c r="M288" s="1">
        <v>49474</v>
      </c>
      <c r="N288" s="1">
        <v>77769</v>
      </c>
      <c r="O288" s="1">
        <v>1119301</v>
      </c>
      <c r="P288" s="1">
        <v>810427</v>
      </c>
      <c r="Q288" s="1">
        <v>13784</v>
      </c>
      <c r="R288" s="1">
        <v>7130</v>
      </c>
      <c r="S288" s="1">
        <v>942412</v>
      </c>
      <c r="T288" s="1">
        <v>683712</v>
      </c>
      <c r="U288" s="1">
        <v>13304</v>
      </c>
      <c r="V288" s="1">
        <v>7969</v>
      </c>
      <c r="W288" s="1">
        <v>942474</v>
      </c>
      <c r="X288" s="1">
        <v>675743</v>
      </c>
      <c r="Y288" s="1">
        <v>13263</v>
      </c>
      <c r="Z288" s="1">
        <v>7574</v>
      </c>
      <c r="AA288" s="1">
        <v>944118</v>
      </c>
      <c r="AB288" s="1">
        <v>668169</v>
      </c>
      <c r="AC288" s="1">
        <v>13272</v>
      </c>
      <c r="AD288" s="1">
        <v>18975</v>
      </c>
      <c r="AE288" s="1">
        <v>926998</v>
      </c>
      <c r="AF288" s="1">
        <v>649194</v>
      </c>
      <c r="AG288" s="1">
        <v>13075</v>
      </c>
      <c r="AH288" s="1">
        <v>7183</v>
      </c>
      <c r="AI288">
        <v>0</v>
      </c>
      <c r="AJ288">
        <v>0</v>
      </c>
      <c r="AK288">
        <v>0</v>
      </c>
    </row>
    <row r="289" spans="1:37" x14ac:dyDescent="0.2">
      <c r="A289" t="s">
        <v>477</v>
      </c>
      <c r="B289">
        <v>1175439</v>
      </c>
      <c r="C289" s="1">
        <v>2869</v>
      </c>
      <c r="D289" s="1">
        <v>1023834</v>
      </c>
      <c r="E289" t="s">
        <v>478</v>
      </c>
      <c r="G289" s="1">
        <v>156926.76999999999</v>
      </c>
      <c r="H289" s="1">
        <v>89446.32</v>
      </c>
      <c r="I289" s="1">
        <v>217547.2</v>
      </c>
      <c r="J289" s="1">
        <v>-16579.259999999998</v>
      </c>
      <c r="K289" s="1">
        <v>157905.07999999999</v>
      </c>
      <c r="L289" s="1">
        <v>95546.06</v>
      </c>
      <c r="M289" s="1">
        <v>182492.51</v>
      </c>
      <c r="N289" s="1">
        <v>-30024.31</v>
      </c>
      <c r="O289" s="1">
        <v>155269.6</v>
      </c>
      <c r="P289" s="1">
        <v>92624.2</v>
      </c>
      <c r="Q289" s="1">
        <v>69670.64</v>
      </c>
      <c r="R289" s="1">
        <v>3246.49</v>
      </c>
      <c r="S289" s="1">
        <v>151318.5</v>
      </c>
      <c r="T289" s="1">
        <v>89526.6</v>
      </c>
      <c r="U289" s="1">
        <v>70778.28</v>
      </c>
      <c r="V289" s="1">
        <v>5115.32</v>
      </c>
      <c r="W289" s="1">
        <v>156360.49</v>
      </c>
      <c r="X289" s="1">
        <v>90313.94</v>
      </c>
      <c r="Y289" s="1">
        <v>61982.78</v>
      </c>
      <c r="Z289" s="1">
        <v>-4134.42</v>
      </c>
      <c r="AA289" s="1">
        <v>156926.76999999999</v>
      </c>
      <c r="AB289" s="1">
        <v>89446.32</v>
      </c>
      <c r="AC289" s="1">
        <v>66805.75</v>
      </c>
      <c r="AD289" s="1">
        <v>-2563.84</v>
      </c>
      <c r="AE289" s="1">
        <v>146396.6</v>
      </c>
      <c r="AF289" s="1">
        <v>90030.57</v>
      </c>
      <c r="AG289" s="1">
        <v>50110.97</v>
      </c>
      <c r="AH289" s="1">
        <v>-4934.3</v>
      </c>
      <c r="AI289">
        <v>2.5299999999999998</v>
      </c>
      <c r="AJ289">
        <v>58.22</v>
      </c>
      <c r="AK289">
        <v>204.26</v>
      </c>
    </row>
    <row r="290" spans="1:37" x14ac:dyDescent="0.2">
      <c r="A290" t="s">
        <v>479</v>
      </c>
      <c r="B290">
        <v>1166917</v>
      </c>
      <c r="C290" s="1">
        <v>2481</v>
      </c>
      <c r="D290" s="1">
        <v>443898</v>
      </c>
      <c r="E290" t="s">
        <v>38</v>
      </c>
      <c r="G290" s="1">
        <v>1853240</v>
      </c>
      <c r="H290" s="1">
        <v>804534</v>
      </c>
      <c r="I290" s="1">
        <v>856255</v>
      </c>
      <c r="J290" s="1">
        <v>7430</v>
      </c>
      <c r="K290" s="1">
        <v>1846910</v>
      </c>
      <c r="L290" s="1">
        <v>800557</v>
      </c>
      <c r="M290" s="1">
        <v>707184</v>
      </c>
      <c r="N290" s="1">
        <v>-71513</v>
      </c>
      <c r="O290" s="1">
        <v>1818316</v>
      </c>
      <c r="P290" s="1">
        <v>761158</v>
      </c>
      <c r="Q290" s="1">
        <v>270249</v>
      </c>
      <c r="R290" s="1">
        <v>-11865</v>
      </c>
      <c r="S290" s="1">
        <v>1827268</v>
      </c>
      <c r="T290" s="1">
        <v>780363</v>
      </c>
      <c r="U290" s="1">
        <v>218732</v>
      </c>
      <c r="V290" s="1">
        <v>-3602</v>
      </c>
      <c r="W290" s="1">
        <v>1939331</v>
      </c>
      <c r="X290" s="1">
        <v>825778</v>
      </c>
      <c r="Y290" s="1">
        <v>270260</v>
      </c>
      <c r="Z290" s="1">
        <v>12080</v>
      </c>
      <c r="AA290" s="1">
        <v>1853240</v>
      </c>
      <c r="AB290" s="1">
        <v>804534</v>
      </c>
      <c r="AC290" s="1">
        <v>226444</v>
      </c>
      <c r="AD290" s="1">
        <v>179</v>
      </c>
      <c r="AE290" s="1">
        <v>1840588</v>
      </c>
      <c r="AF290" s="1">
        <v>812300</v>
      </c>
      <c r="AG290" s="1">
        <v>233896</v>
      </c>
      <c r="AH290" s="1">
        <v>-5358</v>
      </c>
      <c r="AI290">
        <v>-19.29</v>
      </c>
      <c r="AJ290">
        <v>22.64</v>
      </c>
      <c r="AK290">
        <v>-47.93</v>
      </c>
    </row>
    <row r="291" spans="1:37" x14ac:dyDescent="0.2">
      <c r="A291" t="s">
        <v>480</v>
      </c>
      <c r="B291">
        <v>1181569</v>
      </c>
      <c r="C291" s="1">
        <v>708.2</v>
      </c>
      <c r="D291" s="1">
        <v>110025</v>
      </c>
      <c r="E291" t="s">
        <v>481</v>
      </c>
      <c r="G291" s="1">
        <v>371131</v>
      </c>
      <c r="H291" s="1">
        <v>150647</v>
      </c>
      <c r="I291" s="1">
        <v>36543</v>
      </c>
      <c r="J291" s="1">
        <v>-6981</v>
      </c>
      <c r="K291" s="1">
        <v>304072</v>
      </c>
      <c r="L291" s="1">
        <v>156881</v>
      </c>
      <c r="M291" s="1">
        <v>64939</v>
      </c>
      <c r="N291" s="1">
        <v>1480</v>
      </c>
      <c r="S291" s="1">
        <v>425995</v>
      </c>
      <c r="T291" s="1">
        <v>157009</v>
      </c>
      <c r="U291" s="1">
        <v>22823</v>
      </c>
      <c r="V291" s="1">
        <v>2173</v>
      </c>
      <c r="W291" s="1">
        <v>420013</v>
      </c>
      <c r="X291" s="1">
        <v>154482</v>
      </c>
      <c r="Y291" s="1">
        <v>21920</v>
      </c>
      <c r="Z291" s="1">
        <v>3584</v>
      </c>
      <c r="AA291" s="1">
        <v>371131</v>
      </c>
      <c r="AB291" s="1">
        <v>150647</v>
      </c>
      <c r="AC291" s="1">
        <v>10009</v>
      </c>
      <c r="AD291" s="1">
        <v>486</v>
      </c>
      <c r="AE291" s="1">
        <v>372958</v>
      </c>
      <c r="AF291" s="1">
        <v>149975</v>
      </c>
      <c r="AG291" s="1">
        <v>9824</v>
      </c>
      <c r="AH291" s="1">
        <v>-2863</v>
      </c>
      <c r="AI291">
        <v>2.35</v>
      </c>
      <c r="AJ291">
        <v>18.559999999999999</v>
      </c>
      <c r="AK291">
        <v>-6.34</v>
      </c>
    </row>
    <row r="292" spans="1:37" x14ac:dyDescent="0.2">
      <c r="A292" t="s">
        <v>482</v>
      </c>
      <c r="B292">
        <v>1122654</v>
      </c>
      <c r="C292" s="1">
        <v>80.8</v>
      </c>
      <c r="D292" s="1">
        <v>4185</v>
      </c>
      <c r="E292" t="s">
        <v>38</v>
      </c>
      <c r="G292" s="1">
        <v>2334</v>
      </c>
      <c r="H292" s="1">
        <v>-1713</v>
      </c>
      <c r="J292" s="1">
        <v>-3569</v>
      </c>
      <c r="K292" s="1">
        <v>588</v>
      </c>
      <c r="L292" s="1">
        <v>-1143</v>
      </c>
      <c r="N292" s="1">
        <v>-6501</v>
      </c>
      <c r="S292" s="1">
        <v>1158</v>
      </c>
      <c r="T292" s="1">
        <v>-2092</v>
      </c>
      <c r="U292" s="1">
        <v>7</v>
      </c>
      <c r="V292" s="1">
        <v>-379</v>
      </c>
      <c r="AA292" s="1">
        <v>2334</v>
      </c>
      <c r="AB292" s="1">
        <v>-1713</v>
      </c>
      <c r="AD292" s="1">
        <v>-1728</v>
      </c>
      <c r="AI292">
        <v>-32.049999999999997</v>
      </c>
      <c r="AJ292">
        <v>-68.36</v>
      </c>
      <c r="AK292">
        <v>-89.61</v>
      </c>
    </row>
    <row r="293" spans="1:37" x14ac:dyDescent="0.2">
      <c r="A293" t="s">
        <v>483</v>
      </c>
      <c r="B293">
        <v>1205913</v>
      </c>
      <c r="C293" s="1">
        <v>3817</v>
      </c>
      <c r="D293" s="1">
        <v>477496</v>
      </c>
      <c r="E293" t="s">
        <v>484</v>
      </c>
      <c r="G293" s="1">
        <v>2872337.14</v>
      </c>
      <c r="H293" s="1">
        <v>66258.7</v>
      </c>
      <c r="I293" s="1">
        <v>426910.53</v>
      </c>
      <c r="J293" s="1">
        <v>14934.47</v>
      </c>
      <c r="K293" s="1">
        <v>2237115.52</v>
      </c>
      <c r="L293" s="1">
        <v>27227.89</v>
      </c>
      <c r="M293" s="1">
        <v>361992.74</v>
      </c>
      <c r="N293" s="1">
        <v>9052.99</v>
      </c>
      <c r="O293" s="1">
        <v>2911409.06</v>
      </c>
      <c r="P293" s="1">
        <v>47107.19</v>
      </c>
      <c r="Q293" s="1">
        <v>131284.57</v>
      </c>
      <c r="R293" s="1">
        <v>6668.2</v>
      </c>
      <c r="S293" s="1">
        <v>3025540.47</v>
      </c>
      <c r="T293" s="1">
        <v>52239.02</v>
      </c>
      <c r="U293" s="1">
        <v>127667.29</v>
      </c>
      <c r="V293" s="1">
        <v>6595.63</v>
      </c>
      <c r="W293" s="1">
        <v>3103961.09</v>
      </c>
      <c r="X293" s="1">
        <v>72939.72</v>
      </c>
      <c r="Y293" s="1">
        <v>138804.09</v>
      </c>
      <c r="Z293" s="1">
        <v>5889.31</v>
      </c>
      <c r="AA293" s="1">
        <v>2872337.14</v>
      </c>
      <c r="AB293" s="1">
        <v>66258.7</v>
      </c>
      <c r="AC293" s="1">
        <v>111189.74</v>
      </c>
      <c r="AD293" s="1">
        <v>5350.15</v>
      </c>
      <c r="AE293" s="1">
        <v>2454331.98</v>
      </c>
      <c r="AF293" s="1">
        <v>46797.94</v>
      </c>
      <c r="AG293" s="1">
        <v>109311.44</v>
      </c>
      <c r="AH293" s="1">
        <v>3502.24</v>
      </c>
      <c r="AI293">
        <v>0.2</v>
      </c>
      <c r="AJ293">
        <v>-11.67</v>
      </c>
      <c r="AK293">
        <v>0</v>
      </c>
    </row>
    <row r="294" spans="1:37" x14ac:dyDescent="0.2">
      <c r="A294" t="s">
        <v>485</v>
      </c>
      <c r="B294">
        <v>1194000</v>
      </c>
      <c r="C294" s="1">
        <v>3061</v>
      </c>
      <c r="D294" s="1">
        <v>1617927</v>
      </c>
      <c r="E294" t="s">
        <v>486</v>
      </c>
      <c r="G294" s="1">
        <v>7096070.1600000001</v>
      </c>
      <c r="H294" s="1">
        <v>2993494.13</v>
      </c>
      <c r="I294" s="1">
        <v>920619.52000000002</v>
      </c>
      <c r="J294" s="1">
        <v>123640.6</v>
      </c>
      <c r="K294" s="1">
        <v>7260253.1399999997</v>
      </c>
      <c r="L294" s="1">
        <v>3190175.08</v>
      </c>
      <c r="M294" s="1">
        <v>910413.29</v>
      </c>
      <c r="N294" s="1">
        <v>345703.89</v>
      </c>
      <c r="O294" s="1">
        <v>6228318.8499999996</v>
      </c>
      <c r="P294" s="1">
        <v>2553904.83</v>
      </c>
      <c r="Q294" s="1">
        <v>260218.57</v>
      </c>
      <c r="R294" s="1">
        <v>118612.67</v>
      </c>
      <c r="S294" s="1">
        <v>6341993.4900000002</v>
      </c>
      <c r="T294" s="1">
        <v>2558032.9</v>
      </c>
      <c r="U294" s="1">
        <v>176166.77</v>
      </c>
      <c r="V294" s="1">
        <v>92109.55</v>
      </c>
      <c r="W294" s="1">
        <v>7050528.79</v>
      </c>
      <c r="X294" s="1">
        <v>2813722.86</v>
      </c>
      <c r="Y294" s="1">
        <v>208483.13</v>
      </c>
      <c r="Z294" s="1">
        <v>-158777.19</v>
      </c>
      <c r="AA294" s="1">
        <v>7096070.1600000001</v>
      </c>
      <c r="AB294" s="1">
        <v>2993494.13</v>
      </c>
      <c r="AC294" s="1">
        <v>211139.42</v>
      </c>
      <c r="AD294" s="1">
        <v>19905.330000000002</v>
      </c>
      <c r="AE294" s="1">
        <v>7106953.9800000004</v>
      </c>
      <c r="AF294" s="1">
        <v>3113394.93</v>
      </c>
      <c r="AG294" s="1">
        <v>221216.17</v>
      </c>
      <c r="AH294" s="1">
        <v>-1406.09</v>
      </c>
      <c r="AI294">
        <v>-5.96</v>
      </c>
      <c r="AJ294">
        <v>6.73</v>
      </c>
      <c r="AK294">
        <v>0</v>
      </c>
    </row>
    <row r="295" spans="1:37" x14ac:dyDescent="0.2">
      <c r="A295" t="s">
        <v>487</v>
      </c>
      <c r="B295">
        <v>442012</v>
      </c>
      <c r="C295" s="1">
        <v>4557</v>
      </c>
      <c r="D295" s="1">
        <v>492847</v>
      </c>
      <c r="E295" t="s">
        <v>488</v>
      </c>
      <c r="G295" s="1">
        <v>148349.01999999999</v>
      </c>
      <c r="H295" s="1">
        <v>92090.4</v>
      </c>
      <c r="I295" s="1">
        <v>122542.85</v>
      </c>
      <c r="J295" s="1">
        <v>1254.57</v>
      </c>
      <c r="K295" s="1">
        <v>144963.94</v>
      </c>
      <c r="L295" s="1">
        <v>91404.03</v>
      </c>
      <c r="M295" s="1">
        <v>133469.98000000001</v>
      </c>
      <c r="N295" s="1">
        <v>18301.84</v>
      </c>
      <c r="O295" s="1">
        <v>156515.96</v>
      </c>
      <c r="P295" s="1">
        <v>87083.35</v>
      </c>
      <c r="Q295" s="1">
        <v>39612.49</v>
      </c>
      <c r="R295" s="1">
        <v>836.42</v>
      </c>
      <c r="S295" s="1">
        <v>154026.22</v>
      </c>
      <c r="T295" s="1">
        <v>87948.5</v>
      </c>
      <c r="U295" s="1">
        <v>36508.639999999999</v>
      </c>
      <c r="V295" s="1">
        <v>1170.08</v>
      </c>
      <c r="W295" s="1">
        <v>154613.03</v>
      </c>
      <c r="X295" s="1">
        <v>95664.14</v>
      </c>
      <c r="Y295" s="1">
        <v>38224.76</v>
      </c>
      <c r="Z295" s="1">
        <v>1743.74</v>
      </c>
      <c r="AA295" s="1">
        <v>148349.01999999999</v>
      </c>
      <c r="AB295" s="1">
        <v>92090.4</v>
      </c>
      <c r="AC295" s="1">
        <v>38111.15</v>
      </c>
      <c r="AD295" s="1">
        <v>3216.65</v>
      </c>
      <c r="AE295" s="1">
        <v>146519.03</v>
      </c>
      <c r="AF295" s="1">
        <v>89503.75</v>
      </c>
      <c r="AG295" s="1">
        <v>26481.98</v>
      </c>
      <c r="AH295" s="1">
        <v>-2303.91</v>
      </c>
      <c r="AI295">
        <v>36.69</v>
      </c>
      <c r="AJ295">
        <v>194.73</v>
      </c>
      <c r="AK295">
        <v>352.16</v>
      </c>
    </row>
    <row r="296" spans="1:37" x14ac:dyDescent="0.2">
      <c r="A296" t="s">
        <v>489</v>
      </c>
      <c r="B296">
        <v>1166693</v>
      </c>
      <c r="C296" s="1">
        <v>1</v>
      </c>
      <c r="D296" s="1">
        <v>78514</v>
      </c>
      <c r="E296" t="s">
        <v>38</v>
      </c>
      <c r="G296" s="1">
        <v>23818</v>
      </c>
      <c r="H296" s="1">
        <v>10630</v>
      </c>
      <c r="I296" s="1">
        <v>1683</v>
      </c>
      <c r="J296" s="1">
        <v>-34938</v>
      </c>
      <c r="K296" s="1">
        <v>26990</v>
      </c>
      <c r="L296" s="1">
        <v>10572</v>
      </c>
      <c r="M296" s="1">
        <v>2720</v>
      </c>
      <c r="N296" s="1">
        <v>-33835</v>
      </c>
      <c r="S296" s="1">
        <v>24527</v>
      </c>
      <c r="T296" s="1">
        <v>16812</v>
      </c>
      <c r="U296" s="1">
        <v>756</v>
      </c>
      <c r="V296" s="1">
        <v>-16119</v>
      </c>
      <c r="AA296" s="1">
        <v>23818</v>
      </c>
      <c r="AB296" s="1">
        <v>10630</v>
      </c>
      <c r="AC296" s="1">
        <v>1200</v>
      </c>
      <c r="AD296" s="1">
        <v>-18654</v>
      </c>
      <c r="AI296">
        <v>0</v>
      </c>
      <c r="AJ296">
        <v>-79.17</v>
      </c>
      <c r="AK296">
        <v>-98.88</v>
      </c>
    </row>
    <row r="297" spans="1:37" x14ac:dyDescent="0.2">
      <c r="A297" t="s">
        <v>490</v>
      </c>
      <c r="B297">
        <v>1140300</v>
      </c>
      <c r="C297" s="1">
        <v>981.2</v>
      </c>
      <c r="D297" s="1">
        <v>83210</v>
      </c>
      <c r="E297" t="s">
        <v>491</v>
      </c>
      <c r="G297" s="1">
        <v>112228</v>
      </c>
      <c r="H297" s="1">
        <v>85856</v>
      </c>
      <c r="I297" s="1">
        <v>87696</v>
      </c>
      <c r="J297" s="1">
        <v>2874</v>
      </c>
      <c r="K297" s="1">
        <v>118820</v>
      </c>
      <c r="L297" s="1">
        <v>82567</v>
      </c>
      <c r="M297" s="1">
        <v>130019</v>
      </c>
      <c r="N297" s="1">
        <v>20516</v>
      </c>
      <c r="S297" s="1">
        <v>99107</v>
      </c>
      <c r="T297" s="1">
        <v>74460</v>
      </c>
      <c r="U297" s="1">
        <v>33581</v>
      </c>
      <c r="V297" s="1">
        <v>-5250</v>
      </c>
      <c r="AA297" s="1">
        <v>112228</v>
      </c>
      <c r="AB297" s="1">
        <v>85856</v>
      </c>
      <c r="AC297" s="1">
        <v>41201</v>
      </c>
      <c r="AD297" s="1">
        <v>2684</v>
      </c>
      <c r="AI297">
        <v>-3.26</v>
      </c>
      <c r="AJ297">
        <v>-7.35</v>
      </c>
      <c r="AK297">
        <v>-39.56</v>
      </c>
    </row>
    <row r="298" spans="1:37" x14ac:dyDescent="0.2">
      <c r="A298" t="s">
        <v>492</v>
      </c>
      <c r="B298">
        <v>1097054</v>
      </c>
      <c r="C298" s="1">
        <v>1361</v>
      </c>
      <c r="D298" s="1">
        <v>4911</v>
      </c>
      <c r="E298" t="s">
        <v>38</v>
      </c>
      <c r="G298" s="1">
        <v>7485</v>
      </c>
      <c r="H298" s="1">
        <v>645</v>
      </c>
      <c r="I298" s="1">
        <v>5073</v>
      </c>
      <c r="J298" s="1">
        <v>-8838</v>
      </c>
      <c r="K298" s="1">
        <v>4758</v>
      </c>
      <c r="L298" s="1">
        <v>-5643</v>
      </c>
      <c r="M298" s="1">
        <v>2883</v>
      </c>
      <c r="N298" s="1">
        <v>-6177</v>
      </c>
      <c r="S298" s="1">
        <v>3097</v>
      </c>
      <c r="T298" s="1">
        <v>-3578</v>
      </c>
      <c r="U298" s="1">
        <v>664</v>
      </c>
      <c r="V298" s="1">
        <v>-5491</v>
      </c>
      <c r="AA298" s="1">
        <v>7485</v>
      </c>
      <c r="AB298" s="1">
        <v>645</v>
      </c>
      <c r="AC298" s="1">
        <v>4172</v>
      </c>
      <c r="AD298" s="1">
        <v>-4776</v>
      </c>
      <c r="AI298">
        <v>-23.06</v>
      </c>
      <c r="AJ298">
        <v>-77.23</v>
      </c>
      <c r="AK298">
        <v>-87.19</v>
      </c>
    </row>
    <row r="299" spans="1:37" x14ac:dyDescent="0.2">
      <c r="A299" t="s">
        <v>493</v>
      </c>
      <c r="B299">
        <v>1084953</v>
      </c>
      <c r="C299" s="1">
        <v>1652</v>
      </c>
      <c r="D299" s="1">
        <v>93494</v>
      </c>
      <c r="E299" t="s">
        <v>494</v>
      </c>
      <c r="G299" s="1">
        <v>130090</v>
      </c>
      <c r="H299" s="1">
        <v>67854</v>
      </c>
      <c r="I299" s="1">
        <v>92877</v>
      </c>
      <c r="J299" s="1">
        <v>11920</v>
      </c>
      <c r="K299" s="1">
        <v>112161</v>
      </c>
      <c r="L299" s="1">
        <v>64427</v>
      </c>
      <c r="M299" s="1">
        <v>98500</v>
      </c>
      <c r="N299" s="1">
        <v>13949</v>
      </c>
      <c r="S299" s="1">
        <v>124270</v>
      </c>
      <c r="T299" s="1">
        <v>59334</v>
      </c>
      <c r="U299" s="1">
        <v>13942</v>
      </c>
      <c r="V299" s="1">
        <v>-305</v>
      </c>
      <c r="W299" s="1">
        <v>131211</v>
      </c>
      <c r="X299" s="1">
        <v>64639</v>
      </c>
      <c r="Y299" s="1">
        <v>23168</v>
      </c>
      <c r="Z299" s="1">
        <v>1785</v>
      </c>
      <c r="AA299" s="1">
        <v>130090</v>
      </c>
      <c r="AB299" s="1">
        <v>67854</v>
      </c>
      <c r="AC299" s="1">
        <v>26404</v>
      </c>
      <c r="AD299" s="1">
        <v>5812</v>
      </c>
      <c r="AE299" s="1">
        <v>123941</v>
      </c>
      <c r="AF299" s="1">
        <v>65564</v>
      </c>
      <c r="AG299" s="1">
        <v>22998</v>
      </c>
      <c r="AH299" s="1">
        <v>3255</v>
      </c>
      <c r="AI299">
        <v>-24.07</v>
      </c>
      <c r="AJ299">
        <v>28.19</v>
      </c>
      <c r="AK299">
        <v>31.56</v>
      </c>
    </row>
    <row r="300" spans="1:37" x14ac:dyDescent="0.2">
      <c r="A300" t="s">
        <v>495</v>
      </c>
      <c r="B300">
        <v>1181932</v>
      </c>
      <c r="C300" s="1">
        <v>7.5</v>
      </c>
      <c r="D300" s="1">
        <v>13683</v>
      </c>
      <c r="E300" t="s">
        <v>38</v>
      </c>
      <c r="G300" s="1">
        <v>46222.080000000002</v>
      </c>
      <c r="H300" s="1">
        <v>21455.3</v>
      </c>
      <c r="I300" s="1">
        <v>20791.55</v>
      </c>
      <c r="J300" s="1">
        <v>-29234.35</v>
      </c>
      <c r="K300" s="1">
        <v>43067</v>
      </c>
      <c r="L300" s="1">
        <v>25853.26</v>
      </c>
      <c r="M300" s="1">
        <v>19408.080000000002</v>
      </c>
      <c r="N300" s="1">
        <v>-33107.26</v>
      </c>
      <c r="S300" s="1">
        <v>23711.9</v>
      </c>
      <c r="T300" s="1">
        <v>2475.0500000000002</v>
      </c>
      <c r="U300" s="1">
        <v>2461.56</v>
      </c>
      <c r="V300" s="1">
        <v>-9448.34</v>
      </c>
      <c r="AA300" s="1">
        <v>46222.080000000002</v>
      </c>
      <c r="AB300" s="1">
        <v>21455.3</v>
      </c>
      <c r="AC300" s="1">
        <v>11633.93</v>
      </c>
      <c r="AD300" s="1">
        <v>-11517.23</v>
      </c>
      <c r="AI300">
        <v>14.93</v>
      </c>
      <c r="AJ300">
        <v>-82.81</v>
      </c>
      <c r="AK300">
        <v>-90.72</v>
      </c>
    </row>
    <row r="301" spans="1:37" x14ac:dyDescent="0.2">
      <c r="A301" t="s">
        <v>496</v>
      </c>
      <c r="B301">
        <v>1169481</v>
      </c>
      <c r="C301" s="1">
        <v>250.8</v>
      </c>
      <c r="D301" s="1">
        <v>10506</v>
      </c>
      <c r="E301" t="s">
        <v>38</v>
      </c>
      <c r="G301" s="1">
        <v>32863</v>
      </c>
      <c r="H301" s="1">
        <v>31405</v>
      </c>
      <c r="I301" s="1">
        <v>208</v>
      </c>
      <c r="J301" s="1">
        <v>-13250</v>
      </c>
      <c r="K301" s="1">
        <v>40933</v>
      </c>
      <c r="L301" s="1">
        <v>38712</v>
      </c>
      <c r="M301" s="1">
        <v>154</v>
      </c>
      <c r="N301" s="1">
        <v>-18384</v>
      </c>
      <c r="S301" s="1">
        <v>23976</v>
      </c>
      <c r="T301" s="1">
        <v>22716</v>
      </c>
      <c r="U301" s="1">
        <v>21</v>
      </c>
      <c r="V301" s="1">
        <v>-8853</v>
      </c>
      <c r="AA301" s="1">
        <v>32863</v>
      </c>
      <c r="AB301" s="1">
        <v>31405</v>
      </c>
      <c r="AC301" s="1">
        <v>158</v>
      </c>
      <c r="AD301" s="1">
        <v>-10908</v>
      </c>
      <c r="AI301">
        <v>7.25</v>
      </c>
      <c r="AJ301">
        <v>-23.98</v>
      </c>
      <c r="AK301">
        <v>-78.06</v>
      </c>
    </row>
    <row r="302" spans="1:37" x14ac:dyDescent="0.2">
      <c r="A302" t="s">
        <v>497</v>
      </c>
      <c r="B302">
        <v>813014</v>
      </c>
      <c r="C302" s="1">
        <v>40150</v>
      </c>
      <c r="D302" s="1">
        <v>4933632</v>
      </c>
      <c r="E302" t="s">
        <v>498</v>
      </c>
      <c r="G302" s="1">
        <v>2523104</v>
      </c>
      <c r="H302" s="1">
        <v>2010319</v>
      </c>
      <c r="I302" s="1">
        <v>2273947</v>
      </c>
      <c r="J302" s="1">
        <v>263466</v>
      </c>
      <c r="K302" s="1">
        <v>2368168</v>
      </c>
      <c r="L302" s="1">
        <v>1899317</v>
      </c>
      <c r="M302" s="1">
        <v>2129458</v>
      </c>
      <c r="N302" s="1">
        <v>237557</v>
      </c>
      <c r="O302" s="1">
        <v>2662122</v>
      </c>
      <c r="P302" s="1">
        <v>2178647</v>
      </c>
      <c r="Q302" s="1">
        <v>586160</v>
      </c>
      <c r="R302" s="1">
        <v>81413</v>
      </c>
      <c r="S302" s="1">
        <v>2614133</v>
      </c>
      <c r="T302" s="1">
        <v>2140953</v>
      </c>
      <c r="U302" s="1">
        <v>536563</v>
      </c>
      <c r="V302" s="1">
        <v>56366</v>
      </c>
      <c r="W302" s="1">
        <v>2610479</v>
      </c>
      <c r="X302" s="1">
        <v>2091283</v>
      </c>
      <c r="Y302" s="1">
        <v>586044</v>
      </c>
      <c r="Z302" s="1">
        <v>70131</v>
      </c>
      <c r="AA302" s="1">
        <v>2523104</v>
      </c>
      <c r="AB302" s="1">
        <v>2010319</v>
      </c>
      <c r="AC302" s="1">
        <v>531572</v>
      </c>
      <c r="AD302" s="1">
        <v>57633</v>
      </c>
      <c r="AE302" s="1">
        <v>2540327</v>
      </c>
      <c r="AF302" s="1">
        <v>2046994</v>
      </c>
      <c r="AG302" s="1">
        <v>605183</v>
      </c>
      <c r="AH302" s="1">
        <v>68161</v>
      </c>
      <c r="AI302">
        <v>17.809999999999999</v>
      </c>
      <c r="AJ302">
        <v>21.36</v>
      </c>
      <c r="AK302">
        <v>62.38</v>
      </c>
    </row>
    <row r="303" spans="1:37" x14ac:dyDescent="0.2">
      <c r="A303" t="s">
        <v>499</v>
      </c>
      <c r="B303">
        <v>1090117</v>
      </c>
      <c r="C303" s="1">
        <v>334.7</v>
      </c>
      <c r="D303" s="1">
        <v>222287</v>
      </c>
      <c r="E303" t="s">
        <v>38</v>
      </c>
      <c r="G303" s="1">
        <v>644899</v>
      </c>
      <c r="H303" s="1">
        <v>293986</v>
      </c>
      <c r="I303" s="1">
        <v>664079</v>
      </c>
      <c r="J303" s="1">
        <v>14592</v>
      </c>
      <c r="K303" s="1">
        <v>639158</v>
      </c>
      <c r="L303" s="1">
        <v>299467</v>
      </c>
      <c r="M303" s="1">
        <v>733914</v>
      </c>
      <c r="N303" s="1">
        <v>33140</v>
      </c>
      <c r="O303" s="1">
        <v>591508</v>
      </c>
      <c r="P303" s="1">
        <v>271397</v>
      </c>
      <c r="Q303" s="1">
        <v>179994</v>
      </c>
      <c r="R303" s="1">
        <v>4566</v>
      </c>
      <c r="S303" s="1">
        <v>594904</v>
      </c>
      <c r="T303" s="1">
        <v>272444</v>
      </c>
      <c r="U303" s="1">
        <v>166179</v>
      </c>
      <c r="V303" s="1">
        <v>5690</v>
      </c>
      <c r="W303" s="1">
        <v>641704</v>
      </c>
      <c r="X303" s="1">
        <v>296289</v>
      </c>
      <c r="Y303" s="1">
        <v>157878</v>
      </c>
      <c r="Z303" s="1">
        <v>-3913</v>
      </c>
      <c r="AA303" s="1">
        <v>644899</v>
      </c>
      <c r="AB303" s="1">
        <v>293986</v>
      </c>
      <c r="AC303" s="1">
        <v>136667</v>
      </c>
      <c r="AD303" s="1">
        <v>-6961</v>
      </c>
      <c r="AE303" s="1">
        <v>653271</v>
      </c>
      <c r="AF303" s="1">
        <v>306061</v>
      </c>
      <c r="AG303" s="1">
        <v>167225</v>
      </c>
      <c r="AH303" s="1">
        <v>2163</v>
      </c>
      <c r="AI303">
        <v>-7.27</v>
      </c>
      <c r="AJ303">
        <v>-30.98</v>
      </c>
      <c r="AK303">
        <v>3.09</v>
      </c>
    </row>
    <row r="304" spans="1:37" x14ac:dyDescent="0.2">
      <c r="A304" t="s">
        <v>500</v>
      </c>
      <c r="B304">
        <v>1178284</v>
      </c>
      <c r="C304" s="1">
        <v>337.7</v>
      </c>
      <c r="D304" s="1">
        <v>51740</v>
      </c>
      <c r="E304" t="s">
        <v>501</v>
      </c>
      <c r="G304" s="1">
        <v>124290</v>
      </c>
      <c r="H304" s="1">
        <v>47149</v>
      </c>
      <c r="I304" s="1">
        <v>112107</v>
      </c>
      <c r="J304" s="1">
        <v>1741</v>
      </c>
      <c r="K304" s="1">
        <v>69478</v>
      </c>
      <c r="L304" s="1">
        <v>45259</v>
      </c>
      <c r="M304" s="1">
        <v>82865</v>
      </c>
      <c r="N304" s="1">
        <v>4862</v>
      </c>
      <c r="S304" s="1">
        <v>112275</v>
      </c>
      <c r="T304" s="1">
        <v>48753</v>
      </c>
      <c r="U304" s="1">
        <v>92537</v>
      </c>
      <c r="V304" s="1">
        <v>1389</v>
      </c>
      <c r="AA304" s="1">
        <v>124290</v>
      </c>
      <c r="AB304" s="1">
        <v>47149</v>
      </c>
      <c r="AC304" s="1">
        <v>54984</v>
      </c>
      <c r="AD304" s="1">
        <v>295</v>
      </c>
      <c r="AI304">
        <v>-2.68</v>
      </c>
      <c r="AJ304">
        <v>-18.37</v>
      </c>
      <c r="AK304">
        <v>-33.119999999999997</v>
      </c>
    </row>
    <row r="305" spans="1:37" x14ac:dyDescent="0.2">
      <c r="A305" t="s">
        <v>502</v>
      </c>
      <c r="B305">
        <v>1097344</v>
      </c>
      <c r="C305" s="1">
        <v>521.20000000000005</v>
      </c>
      <c r="D305" s="1">
        <v>43884</v>
      </c>
      <c r="E305" t="s">
        <v>503</v>
      </c>
      <c r="G305" s="1">
        <v>81211</v>
      </c>
      <c r="H305" s="1">
        <v>77825</v>
      </c>
      <c r="I305" s="1">
        <v>747</v>
      </c>
      <c r="J305" s="1">
        <v>254</v>
      </c>
      <c r="K305" s="1">
        <v>123767</v>
      </c>
      <c r="L305" s="1">
        <v>119591</v>
      </c>
      <c r="M305" s="1">
        <v>3982</v>
      </c>
      <c r="N305" s="1">
        <v>-35889</v>
      </c>
      <c r="S305" s="1">
        <v>82007</v>
      </c>
      <c r="T305" s="1">
        <v>78240</v>
      </c>
      <c r="U305" s="1">
        <v>489</v>
      </c>
      <c r="V305" s="1">
        <v>432</v>
      </c>
      <c r="AA305" s="1">
        <v>81211</v>
      </c>
      <c r="AB305" s="1">
        <v>77825</v>
      </c>
      <c r="AC305" s="1">
        <v>469</v>
      </c>
      <c r="AD305" s="1">
        <v>-1968</v>
      </c>
      <c r="AI305">
        <v>-5.25</v>
      </c>
      <c r="AJ305">
        <v>-13.51</v>
      </c>
      <c r="AK305">
        <v>-66.81</v>
      </c>
    </row>
    <row r="306" spans="1:37" x14ac:dyDescent="0.2">
      <c r="A306" t="s">
        <v>504</v>
      </c>
      <c r="B306">
        <v>1178490</v>
      </c>
      <c r="C306" s="1">
        <v>234.8</v>
      </c>
      <c r="D306" s="1">
        <v>70528</v>
      </c>
      <c r="E306" t="s">
        <v>38</v>
      </c>
      <c r="G306" s="1">
        <v>90354.43</v>
      </c>
      <c r="H306" s="1">
        <v>29194.240000000002</v>
      </c>
      <c r="I306" s="1">
        <v>117221.88</v>
      </c>
      <c r="J306" s="1">
        <v>-2633.13</v>
      </c>
      <c r="K306" s="1">
        <v>84121.01</v>
      </c>
      <c r="L306" s="1">
        <v>32026.41</v>
      </c>
      <c r="M306" s="1">
        <v>94523.25</v>
      </c>
      <c r="N306" s="1">
        <v>-9941.61</v>
      </c>
      <c r="S306" s="1">
        <v>85136.26</v>
      </c>
      <c r="T306" s="1">
        <v>27461.57</v>
      </c>
      <c r="U306" s="1">
        <v>55442.42</v>
      </c>
      <c r="V306" s="1">
        <v>-165.23</v>
      </c>
      <c r="AA306" s="1">
        <v>90354.43</v>
      </c>
      <c r="AB306" s="1">
        <v>29194.240000000002</v>
      </c>
      <c r="AC306" s="1">
        <v>68494.31</v>
      </c>
      <c r="AD306" s="1">
        <v>4307.1099999999997</v>
      </c>
      <c r="AI306">
        <v>-14.27</v>
      </c>
      <c r="AJ306">
        <v>-17.66</v>
      </c>
      <c r="AK306">
        <v>-23.69</v>
      </c>
    </row>
    <row r="307" spans="1:37" x14ac:dyDescent="0.2">
      <c r="A307" t="s">
        <v>505</v>
      </c>
      <c r="B307">
        <v>288019</v>
      </c>
      <c r="C307" s="1">
        <v>15780</v>
      </c>
      <c r="D307" s="1">
        <v>2088052</v>
      </c>
      <c r="E307" t="s">
        <v>506</v>
      </c>
      <c r="G307" s="1">
        <v>2234959</v>
      </c>
      <c r="H307" s="1">
        <v>1106373</v>
      </c>
      <c r="I307" s="1">
        <v>1803849</v>
      </c>
      <c r="J307" s="1">
        <v>142903</v>
      </c>
      <c r="K307" s="1">
        <v>2120979</v>
      </c>
      <c r="L307" s="1">
        <v>984826</v>
      </c>
      <c r="M307" s="1">
        <v>1637805</v>
      </c>
      <c r="N307" s="1">
        <v>153906</v>
      </c>
      <c r="O307" s="1">
        <v>2473785</v>
      </c>
      <c r="P307" s="1">
        <v>1292323</v>
      </c>
      <c r="Q307" s="1">
        <v>535406</v>
      </c>
      <c r="R307" s="1">
        <v>43550</v>
      </c>
      <c r="S307" s="1">
        <v>2372667</v>
      </c>
      <c r="T307" s="1">
        <v>1154769</v>
      </c>
      <c r="U307" s="1">
        <v>531883</v>
      </c>
      <c r="V307" s="1">
        <v>39792</v>
      </c>
      <c r="W307" s="1">
        <v>2370446</v>
      </c>
      <c r="X307" s="1">
        <v>1176726</v>
      </c>
      <c r="Y307" s="1">
        <v>499906</v>
      </c>
      <c r="Z307" s="1">
        <v>39067</v>
      </c>
      <c r="AA307" s="1">
        <v>2234959</v>
      </c>
      <c r="AB307" s="1">
        <v>1106373</v>
      </c>
      <c r="AC307" s="1">
        <v>452723</v>
      </c>
      <c r="AD307" s="1">
        <v>28551</v>
      </c>
      <c r="AE307" s="1">
        <v>2238860</v>
      </c>
      <c r="AF307" s="1">
        <v>1120230</v>
      </c>
      <c r="AG307" s="1">
        <v>472564</v>
      </c>
      <c r="AH307" s="1">
        <v>40510</v>
      </c>
      <c r="AI307">
        <v>4.42</v>
      </c>
      <c r="AJ307">
        <v>13.87</v>
      </c>
      <c r="AK307">
        <v>10.44</v>
      </c>
    </row>
    <row r="308" spans="1:37" x14ac:dyDescent="0.2">
      <c r="A308" t="s">
        <v>507</v>
      </c>
      <c r="B308">
        <v>1131556</v>
      </c>
      <c r="C308" s="1">
        <v>680.4</v>
      </c>
      <c r="D308" s="1">
        <v>113630</v>
      </c>
      <c r="E308" t="s">
        <v>38</v>
      </c>
      <c r="G308" s="1">
        <v>1163179</v>
      </c>
      <c r="H308" s="1">
        <v>456417</v>
      </c>
      <c r="I308" s="1">
        <v>328219</v>
      </c>
      <c r="J308" s="1">
        <v>-135324</v>
      </c>
      <c r="K308" s="1">
        <v>1755482</v>
      </c>
      <c r="L308" s="1">
        <v>643574</v>
      </c>
      <c r="M308" s="1">
        <v>330612</v>
      </c>
      <c r="N308" s="1">
        <v>-111115</v>
      </c>
      <c r="O308" s="1">
        <v>858965.89</v>
      </c>
      <c r="P308" s="1">
        <v>275886.03999999998</v>
      </c>
      <c r="Q308" s="1">
        <v>58246.49</v>
      </c>
      <c r="R308" s="1">
        <v>-65616.929999999993</v>
      </c>
      <c r="S308" s="1">
        <v>951750</v>
      </c>
      <c r="T308" s="1">
        <v>347610</v>
      </c>
      <c r="U308" s="1">
        <v>49332</v>
      </c>
      <c r="V308" s="1">
        <v>-44108</v>
      </c>
      <c r="W308" s="1">
        <v>1101649</v>
      </c>
      <c r="X308" s="1">
        <v>447485</v>
      </c>
      <c r="Y308" s="1">
        <v>42488</v>
      </c>
      <c r="Z308" s="1">
        <v>-21081</v>
      </c>
      <c r="AA308" s="1">
        <v>1163179</v>
      </c>
      <c r="AB308" s="1">
        <v>456417</v>
      </c>
      <c r="AC308" s="1">
        <v>66914</v>
      </c>
      <c r="AD308" s="1">
        <v>-15763</v>
      </c>
      <c r="AE308" s="1">
        <v>1228281</v>
      </c>
      <c r="AF308" s="1">
        <v>494245</v>
      </c>
      <c r="AG308" s="1">
        <v>99190</v>
      </c>
      <c r="AH308" s="1">
        <v>-84190</v>
      </c>
      <c r="AI308">
        <v>-33.19</v>
      </c>
      <c r="AJ308">
        <v>-64.7</v>
      </c>
      <c r="AK308">
        <v>-60.46</v>
      </c>
    </row>
    <row r="309" spans="1:37" x14ac:dyDescent="0.2">
      <c r="A309" t="s">
        <v>508</v>
      </c>
      <c r="B309">
        <v>397018</v>
      </c>
      <c r="C309" s="1">
        <v>319.7</v>
      </c>
      <c r="D309" s="1">
        <v>80702</v>
      </c>
      <c r="E309" t="s">
        <v>38</v>
      </c>
      <c r="G309" s="1">
        <v>27321</v>
      </c>
      <c r="H309" s="1">
        <v>14314</v>
      </c>
      <c r="I309" s="1">
        <v>17555</v>
      </c>
      <c r="J309" s="1">
        <v>-7149</v>
      </c>
      <c r="K309" s="1">
        <v>17162</v>
      </c>
      <c r="L309" s="1">
        <v>-763</v>
      </c>
      <c r="M309" s="1">
        <v>14820</v>
      </c>
      <c r="N309" s="1">
        <v>-501</v>
      </c>
      <c r="S309" s="1">
        <v>29019</v>
      </c>
      <c r="T309" s="1">
        <v>10339</v>
      </c>
      <c r="U309" s="1">
        <v>10610</v>
      </c>
      <c r="V309" s="1">
        <v>-5199</v>
      </c>
      <c r="AA309" s="1">
        <v>27321</v>
      </c>
      <c r="AB309" s="1">
        <v>14314</v>
      </c>
      <c r="AC309" s="1">
        <v>7783</v>
      </c>
      <c r="AD309" s="1">
        <v>-3912</v>
      </c>
      <c r="AI309">
        <v>-32.21</v>
      </c>
      <c r="AJ309">
        <v>-18.54</v>
      </c>
      <c r="AK309">
        <v>51.08</v>
      </c>
    </row>
    <row r="310" spans="1:37" x14ac:dyDescent="0.2">
      <c r="A310" t="s">
        <v>509</v>
      </c>
      <c r="B310">
        <v>625012</v>
      </c>
      <c r="C310" s="1">
        <v>2953</v>
      </c>
      <c r="D310" s="1">
        <v>550661</v>
      </c>
      <c r="E310" t="s">
        <v>510</v>
      </c>
      <c r="G310" s="1">
        <v>1509956</v>
      </c>
      <c r="H310" s="1">
        <v>426675</v>
      </c>
      <c r="I310" s="1">
        <v>1719768</v>
      </c>
      <c r="J310" s="1">
        <v>44885</v>
      </c>
      <c r="K310" s="1">
        <v>1582603</v>
      </c>
      <c r="L310" s="1">
        <v>394079</v>
      </c>
      <c r="M310" s="1">
        <v>1710479</v>
      </c>
      <c r="N310" s="1">
        <v>30227</v>
      </c>
      <c r="O310" s="1">
        <v>1533406</v>
      </c>
      <c r="P310" s="1">
        <v>464927</v>
      </c>
      <c r="Q310" s="1">
        <v>459856</v>
      </c>
      <c r="R310" s="1">
        <v>17097</v>
      </c>
      <c r="S310" s="1">
        <v>1544523</v>
      </c>
      <c r="T310" s="1">
        <v>470308</v>
      </c>
      <c r="U310" s="1">
        <v>462323</v>
      </c>
      <c r="V310" s="1">
        <v>24175</v>
      </c>
      <c r="W310" s="1">
        <v>1562881</v>
      </c>
      <c r="X310" s="1">
        <v>448918</v>
      </c>
      <c r="Y310" s="1">
        <v>422146</v>
      </c>
      <c r="Z310" s="1">
        <v>10922</v>
      </c>
      <c r="AA310" s="1">
        <v>1509956</v>
      </c>
      <c r="AB310" s="1">
        <v>426675</v>
      </c>
      <c r="AC310" s="1">
        <v>412297</v>
      </c>
      <c r="AD310" s="1">
        <v>4014</v>
      </c>
      <c r="AE310" s="1">
        <v>1574405</v>
      </c>
      <c r="AF310" s="1">
        <v>445182</v>
      </c>
      <c r="AG310" s="1">
        <v>451232</v>
      </c>
      <c r="AH310" s="1">
        <v>12118</v>
      </c>
      <c r="AI310">
        <v>24.9</v>
      </c>
      <c r="AJ310">
        <v>67.13</v>
      </c>
      <c r="AK310">
        <v>295.02999999999997</v>
      </c>
    </row>
    <row r="311" spans="1:37" x14ac:dyDescent="0.2">
      <c r="A311" t="s">
        <v>511</v>
      </c>
      <c r="B311">
        <v>1173145</v>
      </c>
      <c r="C311" s="1">
        <v>1268</v>
      </c>
      <c r="D311" s="1">
        <v>214364</v>
      </c>
      <c r="E311" t="s">
        <v>512</v>
      </c>
      <c r="G311" s="1">
        <v>403753</v>
      </c>
      <c r="H311" s="1">
        <v>190602</v>
      </c>
      <c r="I311" s="1">
        <v>58365</v>
      </c>
      <c r="J311" s="1">
        <v>-22425</v>
      </c>
      <c r="K311" s="1">
        <v>303857</v>
      </c>
      <c r="L311" s="1">
        <v>174157</v>
      </c>
      <c r="N311" s="1">
        <v>-1300</v>
      </c>
      <c r="S311" s="1">
        <v>502342</v>
      </c>
      <c r="T311" s="1">
        <v>237744</v>
      </c>
      <c r="U311" s="1">
        <v>53055</v>
      </c>
      <c r="V311" s="1">
        <v>46930</v>
      </c>
      <c r="AA311" s="1">
        <v>403753</v>
      </c>
      <c r="AB311" s="1">
        <v>190602</v>
      </c>
      <c r="AC311" s="1">
        <v>48917</v>
      </c>
      <c r="AD311" s="1">
        <v>3133</v>
      </c>
      <c r="AI311">
        <v>-12.34</v>
      </c>
      <c r="AJ311">
        <v>37.57</v>
      </c>
      <c r="AK311">
        <v>14.5</v>
      </c>
    </row>
    <row r="312" spans="1:37" x14ac:dyDescent="0.2">
      <c r="A312" t="s">
        <v>513</v>
      </c>
      <c r="B312">
        <v>1094390</v>
      </c>
      <c r="C312" s="1">
        <v>659</v>
      </c>
      <c r="D312" s="1">
        <v>200976</v>
      </c>
      <c r="E312" t="s">
        <v>38</v>
      </c>
      <c r="G312" s="1">
        <v>526823.75</v>
      </c>
      <c r="H312" s="1">
        <v>274538.87</v>
      </c>
      <c r="I312" s="1">
        <v>476994.79</v>
      </c>
      <c r="J312" s="1">
        <v>175.06</v>
      </c>
      <c r="K312" s="1">
        <v>523894.77</v>
      </c>
      <c r="L312" s="1">
        <v>287185.87</v>
      </c>
      <c r="M312" s="1">
        <v>448500.32</v>
      </c>
      <c r="N312" s="1">
        <v>15519.93</v>
      </c>
      <c r="S312" s="1">
        <v>495795.27</v>
      </c>
      <c r="T312" s="1">
        <v>253314.75</v>
      </c>
      <c r="U312" s="1">
        <v>102771.82</v>
      </c>
      <c r="V312" s="1">
        <v>-2903.29</v>
      </c>
      <c r="W312" s="1">
        <v>536354.94999999995</v>
      </c>
      <c r="X312" s="1">
        <v>280731.3</v>
      </c>
      <c r="Y312" s="1">
        <v>121831.42</v>
      </c>
      <c r="Z312" s="1">
        <v>390.39</v>
      </c>
      <c r="AA312" s="1">
        <v>526823.75</v>
      </c>
      <c r="AB312" s="1">
        <v>274538.87</v>
      </c>
      <c r="AC312" s="1">
        <v>138731.88</v>
      </c>
      <c r="AD312" s="1">
        <v>2447.14</v>
      </c>
      <c r="AE312" s="1">
        <v>529609.93000000005</v>
      </c>
      <c r="AF312" s="1">
        <v>281748.53000000003</v>
      </c>
      <c r="AG312" s="1">
        <v>106135.67999999999</v>
      </c>
      <c r="AH312" s="1">
        <v>-6611.22</v>
      </c>
      <c r="AI312">
        <v>-8.0399999999999991</v>
      </c>
      <c r="AJ312">
        <v>-28.58</v>
      </c>
      <c r="AK312">
        <v>-57.33</v>
      </c>
    </row>
    <row r="313" spans="1:37" x14ac:dyDescent="0.2">
      <c r="A313" t="s">
        <v>514</v>
      </c>
      <c r="B313">
        <v>1092204</v>
      </c>
      <c r="C313" s="1">
        <v>3340</v>
      </c>
      <c r="D313" s="1">
        <v>425350</v>
      </c>
      <c r="E313" t="s">
        <v>515</v>
      </c>
      <c r="G313" s="1">
        <v>908324</v>
      </c>
      <c r="H313" s="1">
        <v>392743</v>
      </c>
      <c r="I313" s="1">
        <v>1253631</v>
      </c>
      <c r="J313" s="1">
        <v>44694</v>
      </c>
      <c r="K313" s="1">
        <v>880360</v>
      </c>
      <c r="L313" s="1">
        <v>358047</v>
      </c>
      <c r="M313" s="1">
        <v>1248636</v>
      </c>
      <c r="N313" s="1">
        <v>20816</v>
      </c>
      <c r="S313" s="1">
        <v>977924</v>
      </c>
      <c r="T313" s="1">
        <v>402176</v>
      </c>
      <c r="U313" s="1">
        <v>357908</v>
      </c>
      <c r="V313" s="1">
        <v>12722</v>
      </c>
      <c r="W313" s="1">
        <v>904308</v>
      </c>
      <c r="X313" s="1">
        <v>388737</v>
      </c>
      <c r="Y313" s="1">
        <v>274170</v>
      </c>
      <c r="Z313" s="1">
        <v>10403</v>
      </c>
      <c r="AA313" s="1">
        <v>908324</v>
      </c>
      <c r="AB313" s="1">
        <v>392743</v>
      </c>
      <c r="AC313" s="1">
        <v>304024</v>
      </c>
      <c r="AD313" s="1">
        <v>14845</v>
      </c>
      <c r="AE313" s="1">
        <v>898847</v>
      </c>
      <c r="AF313" s="1">
        <v>377915</v>
      </c>
      <c r="AG313" s="1">
        <v>324956</v>
      </c>
      <c r="AH313" s="1">
        <v>5715</v>
      </c>
      <c r="AI313">
        <v>3.95</v>
      </c>
      <c r="AJ313">
        <v>15.06</v>
      </c>
      <c r="AK313">
        <v>19.63</v>
      </c>
    </row>
    <row r="314" spans="1:37" x14ac:dyDescent="0.2">
      <c r="A314" t="s">
        <v>516</v>
      </c>
      <c r="B314">
        <v>1120161</v>
      </c>
      <c r="C314" s="1">
        <v>219.1</v>
      </c>
      <c r="D314" s="1">
        <v>5728</v>
      </c>
      <c r="E314" t="s">
        <v>38</v>
      </c>
      <c r="G314" s="1">
        <v>16698</v>
      </c>
      <c r="H314" s="1">
        <v>-2494</v>
      </c>
      <c r="I314" s="1">
        <v>181</v>
      </c>
      <c r="J314" s="1">
        <v>-8279</v>
      </c>
      <c r="K314" s="1">
        <v>23472</v>
      </c>
      <c r="L314" s="1">
        <v>4333</v>
      </c>
      <c r="M314" s="1">
        <v>282</v>
      </c>
      <c r="N314" s="1">
        <v>-25293</v>
      </c>
      <c r="S314" s="1">
        <v>13503</v>
      </c>
      <c r="T314" s="1">
        <v>-5734</v>
      </c>
      <c r="U314" s="1">
        <v>80</v>
      </c>
      <c r="V314" s="1">
        <v>-3886</v>
      </c>
      <c r="AA314" s="1">
        <v>16698</v>
      </c>
      <c r="AB314" s="1">
        <v>-2494</v>
      </c>
      <c r="AC314" s="1">
        <v>110</v>
      </c>
      <c r="AD314" s="1">
        <v>-4108</v>
      </c>
      <c r="AI314">
        <v>-18.850000000000001</v>
      </c>
      <c r="AJ314">
        <v>-4.74</v>
      </c>
      <c r="AK314">
        <v>-75.61</v>
      </c>
    </row>
    <row r="315" spans="1:37" x14ac:dyDescent="0.2">
      <c r="A315" t="s">
        <v>517</v>
      </c>
      <c r="B315">
        <v>312017</v>
      </c>
      <c r="C315" s="1">
        <v>6484</v>
      </c>
      <c r="D315" s="1">
        <v>1555614</v>
      </c>
      <c r="E315" t="s">
        <v>518</v>
      </c>
      <c r="G315" s="1">
        <v>767715</v>
      </c>
      <c r="H315" s="1">
        <v>430114</v>
      </c>
      <c r="I315" s="1">
        <v>393590</v>
      </c>
      <c r="J315" s="1">
        <v>48683</v>
      </c>
      <c r="K315" s="1">
        <v>680555</v>
      </c>
      <c r="L315" s="1">
        <v>396644</v>
      </c>
      <c r="M315" s="1">
        <v>326681</v>
      </c>
      <c r="N315" s="1">
        <v>32585</v>
      </c>
      <c r="O315" s="1">
        <v>795387</v>
      </c>
      <c r="P315" s="1">
        <v>449078</v>
      </c>
      <c r="Q315" s="1">
        <v>105037</v>
      </c>
      <c r="R315" s="1">
        <v>15822</v>
      </c>
      <c r="S315" s="1">
        <v>807495</v>
      </c>
      <c r="T315" s="1">
        <v>443452</v>
      </c>
      <c r="U315" s="1">
        <v>119038</v>
      </c>
      <c r="V315" s="1">
        <v>14700</v>
      </c>
      <c r="W315" s="1">
        <v>797142</v>
      </c>
      <c r="X315" s="1">
        <v>445151</v>
      </c>
      <c r="Y315" s="1">
        <v>121467</v>
      </c>
      <c r="Z315" s="1">
        <v>14689</v>
      </c>
      <c r="AA315" s="1">
        <v>767715</v>
      </c>
      <c r="AB315" s="1">
        <v>430114</v>
      </c>
      <c r="AC315" s="1">
        <v>108058</v>
      </c>
      <c r="AD315" s="1">
        <v>11270</v>
      </c>
      <c r="AE315" s="1">
        <v>788259</v>
      </c>
      <c r="AF315" s="1">
        <v>434118</v>
      </c>
      <c r="AG315" s="1">
        <v>100082</v>
      </c>
      <c r="AH315" s="1">
        <v>11374</v>
      </c>
      <c r="AI315">
        <v>-11.84</v>
      </c>
      <c r="AJ315">
        <v>34.700000000000003</v>
      </c>
      <c r="AK315">
        <v>306.39</v>
      </c>
    </row>
    <row r="316" spans="1:37" x14ac:dyDescent="0.2">
      <c r="A316" t="s">
        <v>519</v>
      </c>
      <c r="B316">
        <v>1186527</v>
      </c>
      <c r="C316" s="1">
        <v>3770</v>
      </c>
      <c r="D316" s="1">
        <v>701473</v>
      </c>
      <c r="E316" t="s">
        <v>520</v>
      </c>
      <c r="G316" s="1">
        <v>2302512</v>
      </c>
      <c r="H316" s="1">
        <v>1027970</v>
      </c>
      <c r="I316" s="1">
        <v>28104</v>
      </c>
      <c r="J316" s="1">
        <v>13697</v>
      </c>
      <c r="K316" s="1">
        <v>2095819</v>
      </c>
      <c r="L316" s="1">
        <v>994754</v>
      </c>
      <c r="M316" s="1">
        <v>37102</v>
      </c>
      <c r="N316" s="1">
        <v>-61420</v>
      </c>
      <c r="O316" s="1">
        <v>2800532</v>
      </c>
      <c r="P316" s="1">
        <v>1135705</v>
      </c>
      <c r="Q316" s="1">
        <v>5676</v>
      </c>
      <c r="R316" s="1">
        <v>127687</v>
      </c>
      <c r="S316" s="1">
        <v>2507326</v>
      </c>
      <c r="T316" s="1">
        <v>1009609</v>
      </c>
      <c r="U316" s="1">
        <v>4456</v>
      </c>
      <c r="V316" s="1">
        <v>-13614</v>
      </c>
      <c r="W316" s="1">
        <v>2506986</v>
      </c>
      <c r="X316" s="1">
        <v>1024909</v>
      </c>
      <c r="Y316" s="1">
        <v>5269</v>
      </c>
      <c r="Z316" s="1">
        <v>-12421</v>
      </c>
      <c r="AA316" s="1">
        <v>2302512</v>
      </c>
      <c r="AB316" s="1">
        <v>1027970</v>
      </c>
      <c r="AC316" s="1">
        <v>6561</v>
      </c>
      <c r="AD316" s="1">
        <v>49254</v>
      </c>
      <c r="AE316" s="1">
        <v>2222289</v>
      </c>
      <c r="AF316" s="1">
        <v>958505</v>
      </c>
      <c r="AG316" s="1">
        <v>8677</v>
      </c>
      <c r="AH316" s="1">
        <v>-9376</v>
      </c>
      <c r="AI316">
        <v>-6.58</v>
      </c>
      <c r="AJ316">
        <v>0</v>
      </c>
      <c r="AK316">
        <v>0</v>
      </c>
    </row>
    <row r="317" spans="1:37" x14ac:dyDescent="0.2">
      <c r="A317" t="s">
        <v>521</v>
      </c>
      <c r="B317">
        <v>1173855</v>
      </c>
      <c r="C317" s="1">
        <v>2187</v>
      </c>
      <c r="D317" s="1">
        <v>58850</v>
      </c>
      <c r="E317" t="s">
        <v>38</v>
      </c>
      <c r="G317" s="1">
        <v>52637.15</v>
      </c>
      <c r="H317" s="1">
        <v>31050.560000000001</v>
      </c>
      <c r="I317" s="1">
        <v>47575.12</v>
      </c>
      <c r="J317" s="1">
        <v>-14489.53</v>
      </c>
      <c r="K317" s="1">
        <v>64680.29</v>
      </c>
      <c r="L317" s="1">
        <v>46712.13</v>
      </c>
      <c r="M317" s="1">
        <v>48333.4</v>
      </c>
      <c r="N317" s="1">
        <v>9078.3799999999992</v>
      </c>
      <c r="S317" s="1">
        <v>45275.839999999997</v>
      </c>
      <c r="T317" s="1">
        <v>18397.63</v>
      </c>
      <c r="U317" s="1">
        <v>26655.66</v>
      </c>
      <c r="V317" s="1">
        <v>-9374.16</v>
      </c>
      <c r="AA317" s="1">
        <v>52637.15</v>
      </c>
      <c r="AB317" s="1">
        <v>31050.560000000001</v>
      </c>
      <c r="AC317" s="1">
        <v>24883.48</v>
      </c>
      <c r="AD317" s="1">
        <v>-8041.64</v>
      </c>
      <c r="AI317">
        <v>-10.44</v>
      </c>
      <c r="AJ317">
        <v>-21.44</v>
      </c>
      <c r="AK317">
        <v>28.42</v>
      </c>
    </row>
    <row r="318" spans="1:37" x14ac:dyDescent="0.2">
      <c r="A318" t="s">
        <v>522</v>
      </c>
      <c r="B318">
        <v>745018</v>
      </c>
      <c r="C318" s="1">
        <v>5452</v>
      </c>
      <c r="D318" s="1">
        <v>280605</v>
      </c>
      <c r="E318" t="s">
        <v>523</v>
      </c>
      <c r="G318" s="1">
        <v>186901</v>
      </c>
      <c r="H318" s="1">
        <v>181774</v>
      </c>
      <c r="I318" s="1">
        <v>30002</v>
      </c>
      <c r="J318" s="1">
        <v>19303</v>
      </c>
      <c r="K318" s="1">
        <v>170689</v>
      </c>
      <c r="L318" s="1">
        <v>162471</v>
      </c>
      <c r="M318" s="1">
        <v>28646</v>
      </c>
      <c r="N318" s="1">
        <v>16840</v>
      </c>
      <c r="S318" s="1">
        <v>196947</v>
      </c>
      <c r="T318" s="1">
        <v>191920</v>
      </c>
      <c r="U318" s="1">
        <v>15214</v>
      </c>
      <c r="V318" s="1">
        <v>10146</v>
      </c>
      <c r="AA318" s="1">
        <v>186901</v>
      </c>
      <c r="AB318" s="1">
        <v>181774</v>
      </c>
      <c r="AC318" s="1">
        <v>15532</v>
      </c>
      <c r="AD318" s="1">
        <v>8366</v>
      </c>
      <c r="AI318">
        <v>6.05</v>
      </c>
      <c r="AJ318">
        <v>26.75</v>
      </c>
      <c r="AK318">
        <v>65.22</v>
      </c>
    </row>
    <row r="319" spans="1:37" x14ac:dyDescent="0.2">
      <c r="A319" t="s">
        <v>524</v>
      </c>
      <c r="B319">
        <v>1170216</v>
      </c>
      <c r="C319" s="1">
        <v>982</v>
      </c>
      <c r="D319" s="1">
        <v>1049558</v>
      </c>
      <c r="E319" t="s">
        <v>525</v>
      </c>
      <c r="G319" s="1">
        <v>1153335</v>
      </c>
      <c r="H319" s="1">
        <v>646314</v>
      </c>
      <c r="I319" s="1">
        <v>1001152</v>
      </c>
      <c r="J319" s="1">
        <v>89189</v>
      </c>
      <c r="K319" s="1">
        <v>1046440</v>
      </c>
      <c r="L319" s="1">
        <v>608866</v>
      </c>
      <c r="M319" s="1">
        <v>1000846</v>
      </c>
      <c r="N319" s="1">
        <v>81677</v>
      </c>
      <c r="O319" s="1">
        <v>1197623</v>
      </c>
      <c r="P319" s="1">
        <v>653980</v>
      </c>
      <c r="Q319" s="1">
        <v>226020</v>
      </c>
      <c r="R319" s="1">
        <v>10047</v>
      </c>
      <c r="S319" s="1">
        <v>1205302</v>
      </c>
      <c r="T319" s="1">
        <v>656903</v>
      </c>
      <c r="U319" s="1">
        <v>248890</v>
      </c>
      <c r="V319" s="1">
        <v>10027</v>
      </c>
      <c r="W319" s="1">
        <v>1212810</v>
      </c>
      <c r="X319" s="1">
        <v>665088</v>
      </c>
      <c r="Y319" s="1">
        <v>247274</v>
      </c>
      <c r="Z319" s="1">
        <v>24517</v>
      </c>
      <c r="AA319" s="1">
        <v>1153335</v>
      </c>
      <c r="AB319" s="1">
        <v>646314</v>
      </c>
      <c r="AC319" s="1">
        <v>223506</v>
      </c>
      <c r="AD319" s="1">
        <v>10033</v>
      </c>
      <c r="AE319" s="1">
        <v>1196929</v>
      </c>
      <c r="AF319" s="1">
        <v>652431</v>
      </c>
      <c r="AG319" s="1">
        <v>266773</v>
      </c>
      <c r="AH319" s="1">
        <v>26717</v>
      </c>
      <c r="AI319">
        <v>-14.19</v>
      </c>
      <c r="AJ319">
        <v>-25.13</v>
      </c>
      <c r="AK319">
        <v>11.28</v>
      </c>
    </row>
    <row r="320" spans="1:37" x14ac:dyDescent="0.2">
      <c r="A320" t="s">
        <v>526</v>
      </c>
      <c r="B320">
        <v>1173434</v>
      </c>
      <c r="C320" s="1">
        <v>227.6</v>
      </c>
      <c r="D320" s="1">
        <v>65767</v>
      </c>
      <c r="E320" t="s">
        <v>38</v>
      </c>
      <c r="G320" s="1">
        <v>55000</v>
      </c>
      <c r="H320" s="1">
        <v>4809</v>
      </c>
      <c r="I320" s="1">
        <v>238341</v>
      </c>
      <c r="J320" s="1">
        <v>-26394</v>
      </c>
      <c r="K320" s="1">
        <v>58614</v>
      </c>
      <c r="L320" s="1">
        <v>30378</v>
      </c>
      <c r="M320" s="1">
        <v>218437</v>
      </c>
      <c r="N320" s="1">
        <v>-25889</v>
      </c>
      <c r="O320" s="1">
        <v>55733</v>
      </c>
      <c r="P320" s="1">
        <v>19650</v>
      </c>
      <c r="Q320" s="1">
        <v>76278</v>
      </c>
      <c r="R320" s="1">
        <v>4362</v>
      </c>
      <c r="S320" s="1">
        <v>54625</v>
      </c>
      <c r="T320" s="1">
        <v>15994</v>
      </c>
      <c r="U320" s="1">
        <v>97735</v>
      </c>
      <c r="V320" s="1">
        <v>-8785</v>
      </c>
      <c r="AA320" s="1">
        <v>55000</v>
      </c>
      <c r="AB320" s="1">
        <v>4809</v>
      </c>
      <c r="AC320" s="1">
        <v>137914</v>
      </c>
      <c r="AD320" s="1">
        <v>-5739</v>
      </c>
      <c r="AI320">
        <v>3.57</v>
      </c>
      <c r="AJ320">
        <v>62.11</v>
      </c>
      <c r="AK320">
        <v>-68.239999999999995</v>
      </c>
    </row>
    <row r="321" spans="1:37" x14ac:dyDescent="0.2">
      <c r="A321" t="s">
        <v>527</v>
      </c>
      <c r="B321">
        <v>199018</v>
      </c>
      <c r="C321" s="1">
        <v>24.6</v>
      </c>
      <c r="D321" s="1">
        <v>30249</v>
      </c>
      <c r="E321" t="s">
        <v>38</v>
      </c>
      <c r="G321" s="1">
        <v>35540.019999999997</v>
      </c>
      <c r="H321" s="1">
        <v>22122.7</v>
      </c>
      <c r="I321" s="1">
        <v>1590.09</v>
      </c>
      <c r="J321" s="1">
        <v>-40620.29</v>
      </c>
      <c r="K321" s="1">
        <v>70037.37</v>
      </c>
      <c r="L321" s="1">
        <v>55826.79</v>
      </c>
      <c r="M321" s="1">
        <v>1802.62</v>
      </c>
      <c r="N321" s="1">
        <v>-66773.070000000007</v>
      </c>
      <c r="S321" s="1">
        <v>28827.23</v>
      </c>
      <c r="T321" s="1">
        <v>19999.330000000002</v>
      </c>
      <c r="U321" s="1">
        <v>431.62</v>
      </c>
      <c r="V321" s="1">
        <v>-9303.35</v>
      </c>
      <c r="Y321" s="1">
        <v>416.42</v>
      </c>
      <c r="Z321" s="1">
        <v>-12142.99</v>
      </c>
      <c r="AA321" s="1">
        <v>35540.019999999997</v>
      </c>
      <c r="AB321" s="1">
        <v>22122.7</v>
      </c>
      <c r="AC321" s="1">
        <v>368.35</v>
      </c>
      <c r="AD321" s="1">
        <v>-11305.7</v>
      </c>
      <c r="AE321" s="1">
        <v>44787.12</v>
      </c>
      <c r="AF321" s="1">
        <v>29420.3</v>
      </c>
      <c r="AG321" s="1">
        <v>411.81</v>
      </c>
      <c r="AH321" s="1">
        <v>-12354.3</v>
      </c>
      <c r="AI321">
        <v>-14.48</v>
      </c>
      <c r="AJ321">
        <v>-58.32</v>
      </c>
      <c r="AK321">
        <v>-91.8</v>
      </c>
    </row>
    <row r="322" spans="1:37" x14ac:dyDescent="0.2">
      <c r="A322" t="s">
        <v>528</v>
      </c>
      <c r="B322">
        <v>1099761</v>
      </c>
      <c r="C322" s="1">
        <v>46.6</v>
      </c>
      <c r="D322" s="1">
        <v>10887</v>
      </c>
      <c r="E322" t="s">
        <v>38</v>
      </c>
      <c r="G322" s="1">
        <v>79872.95</v>
      </c>
      <c r="H322" s="1">
        <v>26721.57</v>
      </c>
      <c r="I322" s="1">
        <v>16998.669999999998</v>
      </c>
      <c r="J322" s="1">
        <v>-4380.05</v>
      </c>
      <c r="K322" s="1">
        <v>84737.600000000006</v>
      </c>
      <c r="L322" s="1">
        <v>30590.12</v>
      </c>
      <c r="M322" s="1">
        <v>25784.34</v>
      </c>
      <c r="N322" s="1">
        <v>-15951.55</v>
      </c>
      <c r="O322" s="1">
        <v>65660.47</v>
      </c>
      <c r="P322" s="1">
        <v>21637.77</v>
      </c>
      <c r="Q322" s="1">
        <v>5616.89</v>
      </c>
      <c r="R322" s="1">
        <v>-56.2</v>
      </c>
      <c r="S322" s="1">
        <v>68340.320000000007</v>
      </c>
      <c r="T322" s="1">
        <v>22036.02</v>
      </c>
      <c r="U322" s="1">
        <v>4531.97</v>
      </c>
      <c r="V322" s="1">
        <v>1011.6</v>
      </c>
      <c r="W322" s="1">
        <v>77564.91</v>
      </c>
      <c r="X322" s="1">
        <v>23073.91</v>
      </c>
      <c r="Y322" s="1">
        <v>5774.05</v>
      </c>
      <c r="Z322" s="1">
        <v>-4264.55</v>
      </c>
      <c r="AA322" s="1">
        <v>79872.95</v>
      </c>
      <c r="AB322" s="1">
        <v>26721.57</v>
      </c>
      <c r="AC322" s="1">
        <v>4365.46</v>
      </c>
      <c r="AD322" s="1">
        <v>2097.0300000000002</v>
      </c>
      <c r="AE322" s="1">
        <v>78696.52</v>
      </c>
      <c r="AF322" s="1">
        <v>24701.18</v>
      </c>
      <c r="AG322" s="1">
        <v>4270.21</v>
      </c>
      <c r="AH322" s="1">
        <v>-1127.8399999999999</v>
      </c>
      <c r="AI322">
        <v>63.11</v>
      </c>
      <c r="AJ322">
        <v>85.29</v>
      </c>
      <c r="AK322">
        <v>-72.19</v>
      </c>
    </row>
    <row r="323" spans="1:37" x14ac:dyDescent="0.2">
      <c r="A323" t="s">
        <v>529</v>
      </c>
      <c r="B323">
        <v>756015</v>
      </c>
      <c r="C323" s="1">
        <v>186.5</v>
      </c>
      <c r="D323" s="1">
        <v>187560</v>
      </c>
      <c r="E323" t="s">
        <v>38</v>
      </c>
      <c r="G323" s="1">
        <v>1598550</v>
      </c>
      <c r="H323" s="1">
        <v>1089564</v>
      </c>
      <c r="J323" s="1">
        <v>78572</v>
      </c>
      <c r="K323" s="1">
        <v>1658673</v>
      </c>
      <c r="L323" s="1">
        <v>1017469</v>
      </c>
      <c r="N323" s="1">
        <v>280523</v>
      </c>
      <c r="O323" s="1">
        <v>1521026</v>
      </c>
      <c r="P323" s="1">
        <v>879957</v>
      </c>
      <c r="R323" s="1">
        <v>16046</v>
      </c>
      <c r="S323" s="1">
        <v>1574089</v>
      </c>
      <c r="T323" s="1">
        <v>879739</v>
      </c>
      <c r="V323" s="1">
        <v>-89640</v>
      </c>
      <c r="W323" s="1">
        <v>1591880</v>
      </c>
      <c r="X323" s="1">
        <v>1072808</v>
      </c>
      <c r="Z323" s="1">
        <v>-31175</v>
      </c>
      <c r="AA323" s="1">
        <v>1598550</v>
      </c>
      <c r="AB323" s="1">
        <v>1089564</v>
      </c>
      <c r="AD323" s="1">
        <v>704</v>
      </c>
      <c r="AE323" s="1">
        <v>1622602</v>
      </c>
      <c r="AF323" s="1">
        <v>1118759</v>
      </c>
      <c r="AH323" s="1">
        <v>-43158</v>
      </c>
      <c r="AI323">
        <v>13.68</v>
      </c>
      <c r="AJ323">
        <v>-5.79</v>
      </c>
      <c r="AK323">
        <v>19.52</v>
      </c>
    </row>
    <row r="324" spans="1:37" x14ac:dyDescent="0.2">
      <c r="A324" t="s">
        <v>530</v>
      </c>
      <c r="B324">
        <v>1173178</v>
      </c>
      <c r="C324" s="1">
        <v>171</v>
      </c>
      <c r="D324" s="1">
        <v>16708</v>
      </c>
      <c r="E324" t="s">
        <v>38</v>
      </c>
      <c r="G324" s="1">
        <v>28785</v>
      </c>
      <c r="H324" s="1">
        <v>26366</v>
      </c>
      <c r="I324" s="1">
        <v>255</v>
      </c>
      <c r="J324" s="1">
        <v>280</v>
      </c>
      <c r="K324" s="1">
        <v>27157</v>
      </c>
      <c r="L324" s="1">
        <v>25841</v>
      </c>
      <c r="M324" s="1">
        <v>393</v>
      </c>
      <c r="N324" s="1">
        <v>-4607</v>
      </c>
      <c r="S324" s="1">
        <v>26864</v>
      </c>
      <c r="T324" s="1">
        <v>24179</v>
      </c>
      <c r="U324" s="1">
        <v>73</v>
      </c>
      <c r="V324" s="1">
        <v>-2367</v>
      </c>
      <c r="AA324" s="1">
        <v>28785</v>
      </c>
      <c r="AB324" s="1">
        <v>26366</v>
      </c>
      <c r="AC324" s="1">
        <v>103</v>
      </c>
      <c r="AD324" s="1">
        <v>-2879</v>
      </c>
      <c r="AI324">
        <v>19.54</v>
      </c>
      <c r="AJ324">
        <v>49.36</v>
      </c>
      <c r="AK324">
        <v>-9.6999999999999993</v>
      </c>
    </row>
    <row r="325" spans="1:37" x14ac:dyDescent="0.2">
      <c r="A325" t="s">
        <v>531</v>
      </c>
      <c r="B325">
        <v>412015</v>
      </c>
      <c r="C325" s="1">
        <v>5780</v>
      </c>
      <c r="D325" s="1">
        <v>477894</v>
      </c>
      <c r="E325" t="s">
        <v>532</v>
      </c>
      <c r="G325" s="1">
        <v>389149.5</v>
      </c>
      <c r="H325" s="1">
        <v>266442.53000000003</v>
      </c>
      <c r="I325" s="1">
        <v>185362.43</v>
      </c>
      <c r="J325" s="1">
        <v>36105.300000000003</v>
      </c>
      <c r="K325" s="1">
        <v>307986.71000000002</v>
      </c>
      <c r="L325" s="1">
        <v>181534.98</v>
      </c>
      <c r="M325" s="1">
        <v>198962.72</v>
      </c>
      <c r="N325" s="1">
        <v>36161.19</v>
      </c>
      <c r="S325" s="1">
        <v>371982.18</v>
      </c>
      <c r="T325" s="1">
        <v>255277.26</v>
      </c>
      <c r="U325" s="1">
        <v>38319.410000000003</v>
      </c>
      <c r="V325" s="1">
        <v>14216.35</v>
      </c>
      <c r="W325" s="1">
        <v>407135.86</v>
      </c>
      <c r="X325" s="1">
        <v>265361.09000000003</v>
      </c>
      <c r="Y325" s="1">
        <v>43296.11</v>
      </c>
      <c r="Z325" s="1">
        <v>6216.5</v>
      </c>
      <c r="AA325" s="1">
        <v>389149.5</v>
      </c>
      <c r="AB325" s="1">
        <v>266442.53000000003</v>
      </c>
      <c r="AC325" s="1">
        <v>35051.32</v>
      </c>
      <c r="AD325" s="1">
        <v>7067.89</v>
      </c>
      <c r="AE325" s="1">
        <v>390822.53</v>
      </c>
      <c r="AF325" s="1">
        <v>263361.77</v>
      </c>
      <c r="AG325" s="1">
        <v>47098.45</v>
      </c>
      <c r="AH325" s="1">
        <v>10302.67</v>
      </c>
      <c r="AI325">
        <v>8.52</v>
      </c>
      <c r="AJ325">
        <v>-15.51</v>
      </c>
      <c r="AK325">
        <v>25.35</v>
      </c>
    </row>
    <row r="326" spans="1:37" x14ac:dyDescent="0.2">
      <c r="A326" t="s">
        <v>533</v>
      </c>
      <c r="B326">
        <v>1180876</v>
      </c>
      <c r="C326" s="1">
        <v>545.9</v>
      </c>
      <c r="D326" s="1">
        <v>214205</v>
      </c>
      <c r="E326" t="s">
        <v>534</v>
      </c>
      <c r="G326" s="1">
        <v>166563</v>
      </c>
      <c r="H326" s="1">
        <v>68081</v>
      </c>
      <c r="I326" s="1">
        <v>43046</v>
      </c>
      <c r="J326" s="1">
        <v>13291</v>
      </c>
      <c r="K326" s="1">
        <v>186342</v>
      </c>
      <c r="L326" s="1">
        <v>61569</v>
      </c>
      <c r="M326" s="1">
        <v>38524</v>
      </c>
      <c r="N326" s="1">
        <v>10298</v>
      </c>
      <c r="O326" s="1">
        <v>232574</v>
      </c>
      <c r="P326" s="1">
        <v>79784</v>
      </c>
      <c r="Q326" s="1">
        <v>16210</v>
      </c>
      <c r="R326" s="1">
        <v>5013</v>
      </c>
      <c r="S326" s="1">
        <v>156199</v>
      </c>
      <c r="T326" s="1">
        <v>76556</v>
      </c>
      <c r="U326" s="1">
        <v>13258</v>
      </c>
      <c r="V326" s="1">
        <v>4236</v>
      </c>
      <c r="W326" s="1">
        <v>104851</v>
      </c>
      <c r="X326" s="1">
        <v>71154</v>
      </c>
      <c r="Y326" s="1">
        <v>11569</v>
      </c>
      <c r="Z326" s="1">
        <v>3771</v>
      </c>
      <c r="AA326" s="1">
        <v>166563</v>
      </c>
      <c r="AB326" s="1">
        <v>68081</v>
      </c>
      <c r="AC326" s="1">
        <v>11922</v>
      </c>
      <c r="AD326" s="1">
        <v>4091</v>
      </c>
      <c r="AE326" s="1">
        <v>117843</v>
      </c>
      <c r="AF326" s="1">
        <v>65984</v>
      </c>
      <c r="AG326" s="1">
        <v>12662</v>
      </c>
      <c r="AH326" s="1">
        <v>4190</v>
      </c>
      <c r="AI326">
        <v>24.86</v>
      </c>
      <c r="AJ326">
        <v>64.78</v>
      </c>
      <c r="AK326">
        <v>118.39</v>
      </c>
    </row>
    <row r="327" spans="1:37" x14ac:dyDescent="0.2">
      <c r="A327" t="s">
        <v>535</v>
      </c>
      <c r="B327">
        <v>1172360</v>
      </c>
      <c r="C327" s="1">
        <v>132.1</v>
      </c>
      <c r="D327" s="1">
        <v>127576</v>
      </c>
      <c r="E327" t="s">
        <v>38</v>
      </c>
      <c r="G327" s="1">
        <v>103645</v>
      </c>
      <c r="H327" s="1">
        <v>66467</v>
      </c>
      <c r="I327" s="1">
        <v>4843</v>
      </c>
      <c r="J327" s="1">
        <v>-59866</v>
      </c>
      <c r="K327" s="1">
        <v>115816</v>
      </c>
      <c r="L327" s="1">
        <v>61610</v>
      </c>
      <c r="M327" s="1">
        <v>3176</v>
      </c>
      <c r="N327" s="1">
        <v>-33263</v>
      </c>
      <c r="S327" s="1">
        <v>79813</v>
      </c>
      <c r="T327" s="1">
        <v>44860</v>
      </c>
      <c r="U327" s="1">
        <v>64</v>
      </c>
      <c r="V327" s="1">
        <v>-24200</v>
      </c>
      <c r="AA327" s="1">
        <v>103645</v>
      </c>
      <c r="AB327" s="1">
        <v>66467</v>
      </c>
      <c r="AC327" s="1">
        <v>3987</v>
      </c>
      <c r="AD327" s="1">
        <v>-18801</v>
      </c>
      <c r="AI327">
        <v>-29.68</v>
      </c>
      <c r="AJ327">
        <v>-46.02</v>
      </c>
      <c r="AK327">
        <v>-58.87</v>
      </c>
    </row>
    <row r="328" spans="1:37" x14ac:dyDescent="0.2">
      <c r="A328" t="s">
        <v>536</v>
      </c>
      <c r="B328">
        <v>1091685</v>
      </c>
      <c r="C328" s="1">
        <v>1088</v>
      </c>
      <c r="D328" s="1">
        <v>785605</v>
      </c>
      <c r="E328" t="s">
        <v>537</v>
      </c>
      <c r="G328" s="1">
        <v>520244.56</v>
      </c>
      <c r="H328" s="1">
        <v>298258.96000000002</v>
      </c>
      <c r="I328" s="1">
        <v>557535.14</v>
      </c>
      <c r="J328" s="1">
        <v>30930.21</v>
      </c>
      <c r="K328" s="1">
        <v>450023.66</v>
      </c>
      <c r="L328" s="1">
        <v>279630.83</v>
      </c>
      <c r="M328" s="1">
        <v>493602.07</v>
      </c>
      <c r="N328" s="1">
        <v>-5027.0200000000004</v>
      </c>
      <c r="O328" s="1">
        <v>538216.80000000005</v>
      </c>
      <c r="P328" s="1">
        <v>289258.46999999997</v>
      </c>
      <c r="Q328" s="1">
        <v>158165.65</v>
      </c>
      <c r="R328" s="1">
        <v>13812.47</v>
      </c>
      <c r="S328" s="1">
        <v>529511.9</v>
      </c>
      <c r="T328" s="1">
        <v>280931.43</v>
      </c>
      <c r="U328" s="1">
        <v>149753.89000000001</v>
      </c>
      <c r="V328" s="1">
        <v>4865.8</v>
      </c>
      <c r="W328" s="1">
        <v>563455.44999999995</v>
      </c>
      <c r="X328" s="1">
        <v>321290.96000000002</v>
      </c>
      <c r="Y328" s="1">
        <v>152162.87</v>
      </c>
      <c r="Z328" s="1">
        <v>16924.34</v>
      </c>
      <c r="AA328" s="1">
        <v>520244.56</v>
      </c>
      <c r="AB328" s="1">
        <v>298258.96000000002</v>
      </c>
      <c r="AC328" s="1">
        <v>149162.29999999999</v>
      </c>
      <c r="AD328" s="1">
        <v>8493.86</v>
      </c>
      <c r="AE328" s="1">
        <v>504040.61</v>
      </c>
      <c r="AF328" s="1">
        <v>294451.57</v>
      </c>
      <c r="AG328" s="1">
        <v>158246.34</v>
      </c>
      <c r="AH328" s="1">
        <v>9300.9699999999993</v>
      </c>
      <c r="AI328">
        <v>-4.82</v>
      </c>
      <c r="AJ328">
        <v>55.47</v>
      </c>
      <c r="AK328">
        <v>308.39</v>
      </c>
    </row>
    <row r="329" spans="1:37" x14ac:dyDescent="0.2">
      <c r="A329" t="s">
        <v>538</v>
      </c>
      <c r="B329">
        <v>1109917</v>
      </c>
      <c r="C329" s="1">
        <v>168.1</v>
      </c>
      <c r="D329" s="1">
        <v>11524</v>
      </c>
      <c r="E329" t="s">
        <v>38</v>
      </c>
      <c r="G329" s="1">
        <v>9984.5300000000007</v>
      </c>
      <c r="H329" s="1">
        <v>-596520.75</v>
      </c>
      <c r="J329" s="1">
        <v>-106804.12</v>
      </c>
      <c r="K329" s="1">
        <v>23355.54</v>
      </c>
      <c r="L329" s="1">
        <v>-517476.34</v>
      </c>
      <c r="N329" s="1">
        <v>-156247.81</v>
      </c>
      <c r="S329" s="1">
        <v>9065.32</v>
      </c>
      <c r="T329" s="1">
        <v>-635284.22</v>
      </c>
      <c r="V329" s="1">
        <v>-13811.56</v>
      </c>
      <c r="AA329" s="1">
        <v>9984.5300000000007</v>
      </c>
      <c r="AB329" s="1">
        <v>-596520.75</v>
      </c>
      <c r="AD329" s="1">
        <v>-73069.31</v>
      </c>
      <c r="AI329">
        <v>-1.1200000000000001</v>
      </c>
      <c r="AJ329">
        <v>-16.86</v>
      </c>
      <c r="AK329">
        <v>51.71</v>
      </c>
    </row>
    <row r="330" spans="1:37" x14ac:dyDescent="0.2">
      <c r="A330" t="s">
        <v>539</v>
      </c>
      <c r="B330">
        <v>1121730</v>
      </c>
      <c r="C330" s="1">
        <v>1197</v>
      </c>
      <c r="D330" s="1">
        <v>95825</v>
      </c>
      <c r="E330" t="s">
        <v>38</v>
      </c>
      <c r="G330" s="1">
        <v>112550.07</v>
      </c>
      <c r="H330" s="1">
        <v>-29278.12</v>
      </c>
      <c r="I330" s="1">
        <v>2472.67</v>
      </c>
      <c r="J330" s="1">
        <v>-72429.42</v>
      </c>
      <c r="K330" s="1">
        <v>150752.63</v>
      </c>
      <c r="L330" s="1">
        <v>15955.17</v>
      </c>
      <c r="M330" s="1">
        <v>1294.8399999999999</v>
      </c>
      <c r="N330" s="1">
        <v>-86863.03</v>
      </c>
      <c r="O330" s="1">
        <v>111319.63</v>
      </c>
      <c r="P330" s="1">
        <v>-37556.160000000003</v>
      </c>
      <c r="Q330" s="1">
        <v>1044.7</v>
      </c>
      <c r="R330" s="1">
        <v>-19340.099999999999</v>
      </c>
      <c r="S330" s="1">
        <v>130439.08</v>
      </c>
      <c r="T330" s="1">
        <v>-23071.22</v>
      </c>
      <c r="U330" s="1">
        <v>1342.06</v>
      </c>
      <c r="V330" s="1">
        <v>-25620.46</v>
      </c>
      <c r="W330" s="1">
        <v>139079.22</v>
      </c>
      <c r="X330" s="1">
        <v>-16634.330000000002</v>
      </c>
      <c r="Y330" s="1">
        <v>1587.59</v>
      </c>
      <c r="Z330" s="1">
        <v>-22854.55</v>
      </c>
      <c r="AA330" s="1">
        <v>112550.07</v>
      </c>
      <c r="AB330" s="1">
        <v>-29278.12</v>
      </c>
      <c r="AC330" s="1">
        <v>674.7</v>
      </c>
      <c r="AD330" s="1">
        <v>-10780.53</v>
      </c>
      <c r="AE330" s="1">
        <v>131489.82</v>
      </c>
      <c r="AF330" s="1">
        <v>-19599.93</v>
      </c>
      <c r="AG330" s="1">
        <v>1209.46</v>
      </c>
      <c r="AH330" s="1">
        <v>-21822.22</v>
      </c>
      <c r="AI330">
        <v>-31.75</v>
      </c>
      <c r="AJ330">
        <v>-37.840000000000003</v>
      </c>
      <c r="AK330">
        <v>-41.67</v>
      </c>
    </row>
    <row r="331" spans="1:37" x14ac:dyDescent="0.2">
      <c r="A331" t="s">
        <v>540</v>
      </c>
      <c r="B331">
        <v>1173582</v>
      </c>
      <c r="C331" s="1">
        <v>37.200000000000003</v>
      </c>
      <c r="D331" s="1">
        <v>4479</v>
      </c>
      <c r="E331" t="s">
        <v>38</v>
      </c>
      <c r="G331" s="1">
        <v>26783</v>
      </c>
      <c r="H331" s="1">
        <v>15780</v>
      </c>
      <c r="I331" s="1">
        <v>3</v>
      </c>
      <c r="J331" s="1">
        <v>-5438</v>
      </c>
      <c r="K331" s="1">
        <v>28820</v>
      </c>
      <c r="L331" s="1">
        <v>15612</v>
      </c>
      <c r="M331" s="1">
        <v>16</v>
      </c>
      <c r="N331" s="1">
        <v>-11469</v>
      </c>
      <c r="S331" s="1">
        <v>9126</v>
      </c>
      <c r="T331" s="1">
        <v>1396</v>
      </c>
      <c r="U331" s="1">
        <v>44</v>
      </c>
      <c r="V331" s="1">
        <v>-13621</v>
      </c>
      <c r="AA331" s="1">
        <v>26783</v>
      </c>
      <c r="AB331" s="1">
        <v>15780</v>
      </c>
      <c r="AC331" s="1">
        <v>2</v>
      </c>
      <c r="AD331" s="1">
        <v>-2157</v>
      </c>
      <c r="AI331">
        <v>-24.18</v>
      </c>
      <c r="AJ331">
        <v>-10.97</v>
      </c>
      <c r="AK331">
        <v>-85.46</v>
      </c>
    </row>
    <row r="332" spans="1:37" x14ac:dyDescent="0.2">
      <c r="A332" t="s">
        <v>541</v>
      </c>
      <c r="B332">
        <v>1171404</v>
      </c>
      <c r="C332" s="1">
        <v>214.1</v>
      </c>
      <c r="D332" s="1">
        <v>7100</v>
      </c>
      <c r="E332" t="s">
        <v>38</v>
      </c>
      <c r="G332" s="1">
        <v>10940</v>
      </c>
      <c r="H332" s="1">
        <v>9526</v>
      </c>
      <c r="I332" s="1">
        <v>4398</v>
      </c>
      <c r="J332" s="1">
        <v>-2567</v>
      </c>
      <c r="K332" s="1">
        <v>13187</v>
      </c>
      <c r="L332" s="1">
        <v>11958</v>
      </c>
      <c r="M332" s="1">
        <v>4778</v>
      </c>
      <c r="N332" s="1">
        <v>-2108</v>
      </c>
      <c r="S332" s="1">
        <v>8391</v>
      </c>
      <c r="T332" s="1">
        <v>7614</v>
      </c>
      <c r="U332" s="1">
        <v>809</v>
      </c>
      <c r="V332" s="1">
        <v>-1931</v>
      </c>
      <c r="AA332" s="1">
        <v>10940</v>
      </c>
      <c r="AB332" s="1">
        <v>9526</v>
      </c>
      <c r="AC332" s="1">
        <v>2257</v>
      </c>
      <c r="AD332" s="1">
        <v>-959</v>
      </c>
      <c r="AI332">
        <v>13.04</v>
      </c>
      <c r="AJ332">
        <v>68.05</v>
      </c>
      <c r="AK332">
        <v>-72.02</v>
      </c>
    </row>
    <row r="333" spans="1:37" x14ac:dyDescent="0.2">
      <c r="A333" t="s">
        <v>542</v>
      </c>
      <c r="B333">
        <v>1081603</v>
      </c>
      <c r="C333" s="1">
        <v>20290</v>
      </c>
      <c r="D333" s="1">
        <v>1937280</v>
      </c>
      <c r="E333" t="s">
        <v>543</v>
      </c>
      <c r="G333" s="1">
        <v>2211349</v>
      </c>
      <c r="H333" s="1">
        <v>1140977</v>
      </c>
      <c r="I333" s="1">
        <v>1706884</v>
      </c>
      <c r="J333" s="1">
        <v>143791</v>
      </c>
      <c r="K333" s="1">
        <v>2173903</v>
      </c>
      <c r="L333" s="1">
        <v>1108694</v>
      </c>
      <c r="M333" s="1">
        <v>1644861</v>
      </c>
      <c r="N333" s="1">
        <v>129110</v>
      </c>
      <c r="O333" s="1">
        <v>2307990</v>
      </c>
      <c r="P333" s="1">
        <v>1238877</v>
      </c>
      <c r="Q333" s="1">
        <v>477235</v>
      </c>
      <c r="R333" s="1">
        <v>51515</v>
      </c>
      <c r="S333" s="1">
        <v>2323208</v>
      </c>
      <c r="T333" s="1">
        <v>1224151</v>
      </c>
      <c r="U333" s="1">
        <v>482670</v>
      </c>
      <c r="V333" s="1">
        <v>45659</v>
      </c>
      <c r="W333" s="1">
        <v>2336421</v>
      </c>
      <c r="X333" s="1">
        <v>1202208</v>
      </c>
      <c r="Y333" s="1">
        <v>450619</v>
      </c>
      <c r="Z333" s="1">
        <v>41205</v>
      </c>
      <c r="AA333" s="1">
        <v>2211349</v>
      </c>
      <c r="AB333" s="1">
        <v>1140977</v>
      </c>
      <c r="AC333" s="1">
        <v>419264</v>
      </c>
      <c r="AD333" s="1">
        <v>14262</v>
      </c>
      <c r="AE333" s="1">
        <v>2284900</v>
      </c>
      <c r="AF333" s="1">
        <v>1197331</v>
      </c>
      <c r="AG333" s="1">
        <v>434007</v>
      </c>
      <c r="AH333" s="1">
        <v>48996</v>
      </c>
      <c r="AI333">
        <v>1.77</v>
      </c>
      <c r="AJ333">
        <v>36</v>
      </c>
      <c r="AK333">
        <v>40.22</v>
      </c>
    </row>
    <row r="334" spans="1:37" x14ac:dyDescent="0.2">
      <c r="A334" t="s">
        <v>544</v>
      </c>
      <c r="B334">
        <v>1176700</v>
      </c>
      <c r="C334" s="1">
        <v>293.2</v>
      </c>
      <c r="D334" s="1">
        <v>152144</v>
      </c>
      <c r="E334" t="s">
        <v>38</v>
      </c>
      <c r="G334" s="1">
        <v>141826</v>
      </c>
      <c r="H334" s="1">
        <v>96887</v>
      </c>
      <c r="I334" s="1">
        <v>9661</v>
      </c>
      <c r="J334" s="1">
        <v>-36736</v>
      </c>
      <c r="K334" s="1">
        <v>179908</v>
      </c>
      <c r="L334" s="1">
        <v>132232</v>
      </c>
      <c r="M334" s="1">
        <v>6188</v>
      </c>
      <c r="N334" s="1">
        <v>-58567</v>
      </c>
      <c r="S334" s="1">
        <v>120337</v>
      </c>
      <c r="T334" s="1">
        <v>74508</v>
      </c>
      <c r="U334" s="1">
        <v>3999</v>
      </c>
      <c r="V334" s="1">
        <v>-23157</v>
      </c>
      <c r="AA334" s="1">
        <v>141826</v>
      </c>
      <c r="AB334" s="1">
        <v>96887</v>
      </c>
      <c r="AC334" s="1">
        <v>5311</v>
      </c>
      <c r="AD334" s="1">
        <v>-20840</v>
      </c>
      <c r="AI334">
        <v>-29.38</v>
      </c>
      <c r="AJ334">
        <v>0.97</v>
      </c>
      <c r="AK334">
        <v>-71.209999999999994</v>
      </c>
    </row>
    <row r="335" spans="1:37" x14ac:dyDescent="0.2">
      <c r="A335" t="s">
        <v>545</v>
      </c>
      <c r="B335">
        <v>727016</v>
      </c>
      <c r="C335" s="1">
        <v>601.29999999999995</v>
      </c>
      <c r="D335" s="1">
        <v>43946</v>
      </c>
      <c r="E335" t="s">
        <v>38</v>
      </c>
      <c r="G335" s="1">
        <v>677327</v>
      </c>
      <c r="H335" s="1">
        <v>165940</v>
      </c>
      <c r="I335" s="1">
        <v>483087</v>
      </c>
      <c r="J335" s="1">
        <v>-11596</v>
      </c>
      <c r="K335" s="1">
        <v>750536</v>
      </c>
      <c r="L335" s="1">
        <v>177546</v>
      </c>
      <c r="M335" s="1">
        <v>454957</v>
      </c>
      <c r="N335" s="1">
        <v>-28623</v>
      </c>
      <c r="S335" s="1">
        <v>671208</v>
      </c>
      <c r="T335" s="1">
        <v>159407</v>
      </c>
      <c r="U335" s="1">
        <v>256432</v>
      </c>
      <c r="V335" s="1">
        <v>-6547</v>
      </c>
      <c r="AA335" s="1">
        <v>677327</v>
      </c>
      <c r="AB335" s="1">
        <v>165940</v>
      </c>
      <c r="AC335" s="1">
        <v>260569</v>
      </c>
      <c r="AD335" s="1">
        <v>3329</v>
      </c>
      <c r="AI335">
        <v>-14.45</v>
      </c>
      <c r="AJ335">
        <v>47.56</v>
      </c>
      <c r="AK335">
        <v>-73.16</v>
      </c>
    </row>
    <row r="336" spans="1:37" x14ac:dyDescent="0.2">
      <c r="A336" t="s">
        <v>546</v>
      </c>
      <c r="B336">
        <v>1092840</v>
      </c>
      <c r="C336" s="1">
        <v>709.2</v>
      </c>
      <c r="D336" s="1">
        <v>125227</v>
      </c>
      <c r="E336" t="s">
        <v>38</v>
      </c>
      <c r="G336" s="1">
        <v>418519</v>
      </c>
      <c r="H336" s="1">
        <v>138523</v>
      </c>
      <c r="I336" s="1">
        <v>411031</v>
      </c>
      <c r="J336" s="1">
        <v>2058</v>
      </c>
      <c r="K336" s="1">
        <v>414233</v>
      </c>
      <c r="L336" s="1">
        <v>137629</v>
      </c>
      <c r="M336" s="1">
        <v>392716</v>
      </c>
      <c r="N336" s="1">
        <v>2009</v>
      </c>
      <c r="S336" s="1">
        <v>427033</v>
      </c>
      <c r="T336" s="1">
        <v>136250</v>
      </c>
      <c r="U336" s="1">
        <v>99496</v>
      </c>
      <c r="V336" s="1">
        <v>-2805</v>
      </c>
      <c r="W336" s="1">
        <v>428849</v>
      </c>
      <c r="X336" s="1">
        <v>139628</v>
      </c>
      <c r="Y336" s="1">
        <v>94815</v>
      </c>
      <c r="Z336" s="1">
        <v>53</v>
      </c>
      <c r="AA336" s="1">
        <v>418519</v>
      </c>
      <c r="AB336" s="1">
        <v>138523</v>
      </c>
      <c r="AC336" s="1">
        <v>98596</v>
      </c>
      <c r="AD336" s="1">
        <v>548</v>
      </c>
      <c r="AE336" s="1">
        <v>440286</v>
      </c>
      <c r="AF336" s="1">
        <v>139636</v>
      </c>
      <c r="AG336" s="1">
        <v>109497</v>
      </c>
      <c r="AH336" s="1">
        <v>859</v>
      </c>
      <c r="AI336">
        <v>-10.97</v>
      </c>
      <c r="AJ336">
        <v>24.29</v>
      </c>
      <c r="AK336">
        <v>18.2</v>
      </c>
    </row>
    <row r="337" spans="1:37" x14ac:dyDescent="0.2">
      <c r="A337" t="s">
        <v>547</v>
      </c>
      <c r="B337">
        <v>315010</v>
      </c>
      <c r="C337" s="1">
        <v>20130</v>
      </c>
      <c r="D337" s="1">
        <v>1850941</v>
      </c>
      <c r="E337" t="s">
        <v>548</v>
      </c>
      <c r="G337" s="1">
        <v>660891.12</v>
      </c>
      <c r="H337" s="1">
        <v>590824.94999999995</v>
      </c>
      <c r="I337" s="1">
        <v>467064.01</v>
      </c>
      <c r="J337" s="1">
        <v>158214.16</v>
      </c>
      <c r="K337" s="1">
        <v>603779.44999999995</v>
      </c>
      <c r="L337" s="1">
        <v>538707.43999999994</v>
      </c>
      <c r="M337" s="1">
        <v>411367.1</v>
      </c>
      <c r="N337" s="1">
        <v>136759.67000000001</v>
      </c>
      <c r="O337" s="1">
        <v>589086.22</v>
      </c>
      <c r="P337" s="1">
        <v>473720.05</v>
      </c>
      <c r="Q337" s="1">
        <v>100373.47</v>
      </c>
      <c r="S337" s="1">
        <v>563134.11</v>
      </c>
      <c r="T337" s="1">
        <v>513666.87</v>
      </c>
      <c r="U337" s="1">
        <v>101048.72</v>
      </c>
      <c r="V337" s="1">
        <v>38413.82</v>
      </c>
      <c r="W337" s="1">
        <v>693213.65</v>
      </c>
      <c r="X337" s="1">
        <v>524018.63</v>
      </c>
      <c r="Y337" s="1">
        <v>100252.15</v>
      </c>
      <c r="Z337" s="1">
        <v>33231.480000000003</v>
      </c>
      <c r="AA337" s="1">
        <v>660891.12</v>
      </c>
      <c r="AB337" s="1">
        <v>590824.94999999995</v>
      </c>
      <c r="AC337" s="1">
        <v>120617.23</v>
      </c>
      <c r="AD337" s="1">
        <v>43596.24</v>
      </c>
      <c r="AE337" s="1">
        <v>669387.89</v>
      </c>
      <c r="AF337" s="1">
        <v>611983.06000000006</v>
      </c>
      <c r="AG337" s="1">
        <v>121305.87</v>
      </c>
      <c r="AH337" s="1">
        <v>37378.25</v>
      </c>
      <c r="AI337">
        <v>17.18</v>
      </c>
      <c r="AJ337">
        <v>53.08</v>
      </c>
      <c r="AK337">
        <v>128.01</v>
      </c>
    </row>
    <row r="338" spans="1:37" x14ac:dyDescent="0.2">
      <c r="A338" t="s">
        <v>549</v>
      </c>
      <c r="B338">
        <v>333013</v>
      </c>
      <c r="C338" s="1">
        <v>358.1</v>
      </c>
      <c r="D338" s="1">
        <v>799345</v>
      </c>
      <c r="E338" t="s">
        <v>457</v>
      </c>
      <c r="G338" s="1">
        <v>1677272</v>
      </c>
      <c r="H338" s="1">
        <v>529575</v>
      </c>
      <c r="I338" s="1">
        <v>183232</v>
      </c>
      <c r="J338" s="1">
        <v>51307</v>
      </c>
      <c r="K338" s="1">
        <v>1408472</v>
      </c>
      <c r="L338" s="1">
        <v>507061</v>
      </c>
      <c r="M338" s="1">
        <v>122244</v>
      </c>
      <c r="N338" s="1">
        <v>53800</v>
      </c>
      <c r="O338" s="1">
        <v>1784024</v>
      </c>
      <c r="P338" s="1">
        <v>555415</v>
      </c>
      <c r="Q338" s="1">
        <v>57325</v>
      </c>
      <c r="R338" s="1">
        <v>19880</v>
      </c>
      <c r="S338" s="1">
        <v>1941200</v>
      </c>
      <c r="T338" s="1">
        <v>546394</v>
      </c>
      <c r="U338" s="1">
        <v>54481</v>
      </c>
      <c r="V338" s="1">
        <v>18471</v>
      </c>
      <c r="W338" s="1">
        <v>1678774</v>
      </c>
      <c r="X338" s="1">
        <v>538313</v>
      </c>
      <c r="Y338" s="1">
        <v>54357</v>
      </c>
      <c r="Z338" s="1">
        <v>17534</v>
      </c>
      <c r="AA338" s="1">
        <v>1677272</v>
      </c>
      <c r="AB338" s="1">
        <v>529575</v>
      </c>
      <c r="AC338" s="1">
        <v>62478</v>
      </c>
      <c r="AD338" s="1">
        <v>15000</v>
      </c>
      <c r="AE338" s="1">
        <v>1520471</v>
      </c>
      <c r="AF338" s="1">
        <v>523315</v>
      </c>
      <c r="AG338" s="1">
        <v>50173</v>
      </c>
      <c r="AH338" s="1">
        <v>15162</v>
      </c>
      <c r="AI338">
        <v>0.87</v>
      </c>
      <c r="AJ338">
        <v>89.84</v>
      </c>
      <c r="AK338">
        <v>128.51</v>
      </c>
    </row>
    <row r="339" spans="1:37" x14ac:dyDescent="0.2">
      <c r="A339" t="s">
        <v>550</v>
      </c>
      <c r="B339">
        <v>1188622</v>
      </c>
      <c r="C339" s="1">
        <v>2343</v>
      </c>
      <c r="D339" s="1">
        <v>134922</v>
      </c>
      <c r="E339" t="s">
        <v>38</v>
      </c>
      <c r="G339" s="1">
        <v>185654</v>
      </c>
      <c r="H339" s="1">
        <v>21874</v>
      </c>
      <c r="I339" s="1">
        <v>1900</v>
      </c>
      <c r="J339" s="1">
        <v>-9479</v>
      </c>
      <c r="K339" s="1">
        <v>15205</v>
      </c>
      <c r="L339" s="1">
        <v>8326</v>
      </c>
      <c r="M339" s="1">
        <v>1873</v>
      </c>
      <c r="N339" s="1">
        <v>-12840</v>
      </c>
      <c r="S339" s="1">
        <v>223334</v>
      </c>
      <c r="T339" s="1">
        <v>10837</v>
      </c>
      <c r="U339" s="1">
        <v>11990</v>
      </c>
      <c r="V339" s="1">
        <v>-12115</v>
      </c>
      <c r="AA339" s="1">
        <v>185654</v>
      </c>
      <c r="AB339" s="1">
        <v>21874</v>
      </c>
      <c r="AC339" s="1">
        <v>1135</v>
      </c>
      <c r="AD339" s="1">
        <v>-11446</v>
      </c>
      <c r="AI339">
        <v>5.64</v>
      </c>
      <c r="AJ339">
        <v>6.3</v>
      </c>
      <c r="AK339">
        <v>6.98</v>
      </c>
    </row>
    <row r="340" spans="1:37" x14ac:dyDescent="0.2">
      <c r="A340" t="s">
        <v>551</v>
      </c>
      <c r="B340">
        <v>1102219</v>
      </c>
      <c r="C340" s="1">
        <v>6769</v>
      </c>
      <c r="D340" s="1">
        <v>110457</v>
      </c>
      <c r="E340" t="s">
        <v>552</v>
      </c>
      <c r="G340" s="1">
        <v>329496</v>
      </c>
      <c r="H340" s="1">
        <v>171319</v>
      </c>
      <c r="I340" s="1">
        <v>482149</v>
      </c>
      <c r="J340" s="1">
        <v>5930</v>
      </c>
      <c r="K340" s="1">
        <v>332708</v>
      </c>
      <c r="L340" s="1">
        <v>168280</v>
      </c>
      <c r="M340" s="1">
        <v>473761</v>
      </c>
      <c r="N340" s="1">
        <v>7430</v>
      </c>
      <c r="O340" s="1">
        <v>313073</v>
      </c>
      <c r="P340" s="1">
        <v>164199</v>
      </c>
      <c r="Q340" s="1">
        <v>127379</v>
      </c>
      <c r="R340" s="1">
        <v>-1230</v>
      </c>
      <c r="S340" s="1">
        <v>309949</v>
      </c>
      <c r="T340" s="1">
        <v>167385</v>
      </c>
      <c r="U340" s="1">
        <v>131451</v>
      </c>
      <c r="V340" s="1">
        <v>-173</v>
      </c>
      <c r="W340" s="1">
        <v>311496</v>
      </c>
      <c r="X340" s="1">
        <v>170306</v>
      </c>
      <c r="Y340" s="1">
        <v>129776</v>
      </c>
      <c r="Z340" s="1">
        <v>896</v>
      </c>
      <c r="AA340" s="1">
        <v>329496</v>
      </c>
      <c r="AB340" s="1">
        <v>171319</v>
      </c>
      <c r="AC340" s="1">
        <v>135559</v>
      </c>
      <c r="AD340" s="1">
        <v>3294</v>
      </c>
      <c r="AE340" s="1">
        <v>334381</v>
      </c>
      <c r="AF340" s="1">
        <v>168748</v>
      </c>
      <c r="AG340" s="1">
        <v>127704</v>
      </c>
      <c r="AH340" s="1">
        <v>3320</v>
      </c>
      <c r="AI340">
        <v>17.21</v>
      </c>
      <c r="AJ340">
        <v>63.1</v>
      </c>
      <c r="AK340">
        <v>11.58</v>
      </c>
    </row>
    <row r="341" spans="1:37" x14ac:dyDescent="0.2">
      <c r="A341" t="s">
        <v>553</v>
      </c>
      <c r="B341">
        <v>1095819</v>
      </c>
      <c r="C341" s="1">
        <v>3191</v>
      </c>
      <c r="D341" s="1">
        <v>1308718</v>
      </c>
      <c r="E341" t="s">
        <v>38</v>
      </c>
      <c r="G341" s="1">
        <v>3338923.39</v>
      </c>
      <c r="H341" s="1">
        <v>2636562.23</v>
      </c>
      <c r="I341" s="1">
        <v>1817249.08</v>
      </c>
      <c r="J341" s="1">
        <v>46003.26</v>
      </c>
      <c r="K341" s="1">
        <v>3907243.88</v>
      </c>
      <c r="L341" s="1">
        <v>2604719.2400000002</v>
      </c>
      <c r="M341" s="1">
        <v>2695423.25</v>
      </c>
      <c r="N341" s="1">
        <v>425856.96</v>
      </c>
      <c r="O341" s="1">
        <v>3026824.82</v>
      </c>
      <c r="P341" s="1">
        <v>2268993.75</v>
      </c>
      <c r="Q341" s="1">
        <v>365184.07</v>
      </c>
      <c r="R341" s="1">
        <v>-13485.17</v>
      </c>
      <c r="S341" s="1">
        <v>3059024.43</v>
      </c>
      <c r="T341" s="1">
        <v>2320816.08</v>
      </c>
      <c r="U341" s="1">
        <v>347251.93</v>
      </c>
      <c r="V341" s="1">
        <v>-11704.21</v>
      </c>
      <c r="W341" s="1">
        <v>3265407.8</v>
      </c>
      <c r="X341" s="1">
        <v>2660585.88</v>
      </c>
      <c r="Y341" s="1">
        <v>332173.55</v>
      </c>
      <c r="Z341" s="1">
        <v>-31030.43</v>
      </c>
      <c r="AA341" s="1">
        <v>3338923.39</v>
      </c>
      <c r="AB341" s="1">
        <v>2636562.23</v>
      </c>
      <c r="AC341" s="1">
        <v>472567.33</v>
      </c>
      <c r="AD341" s="1">
        <v>18019.830000000002</v>
      </c>
      <c r="AE341" s="1">
        <v>3311048.89</v>
      </c>
      <c r="AF341" s="1">
        <v>2677937.39</v>
      </c>
      <c r="AG341" s="1">
        <v>379154.58</v>
      </c>
      <c r="AH341" s="1">
        <v>7842.94</v>
      </c>
      <c r="AI341">
        <v>3.61</v>
      </c>
      <c r="AJ341">
        <v>3.91</v>
      </c>
      <c r="AK341">
        <v>-64.239999999999995</v>
      </c>
    </row>
    <row r="342" spans="1:37" x14ac:dyDescent="0.2">
      <c r="A342" t="s">
        <v>554</v>
      </c>
      <c r="B342">
        <v>1174457</v>
      </c>
      <c r="C342" s="1">
        <v>1357</v>
      </c>
      <c r="D342" s="1">
        <v>491245</v>
      </c>
      <c r="E342" t="s">
        <v>38</v>
      </c>
      <c r="G342" s="1">
        <v>384368</v>
      </c>
      <c r="H342" s="1">
        <v>37026</v>
      </c>
      <c r="I342" s="1">
        <v>13201</v>
      </c>
      <c r="J342" s="1">
        <v>-11131</v>
      </c>
      <c r="K342" s="1">
        <v>277590</v>
      </c>
      <c r="L342" s="1">
        <v>46703</v>
      </c>
      <c r="M342" s="1">
        <v>10216</v>
      </c>
      <c r="N342" s="1">
        <v>-19505</v>
      </c>
      <c r="O342" s="1">
        <v>952304</v>
      </c>
      <c r="P342" s="1">
        <v>125056</v>
      </c>
      <c r="Q342" s="1">
        <v>10458</v>
      </c>
      <c r="R342" s="1">
        <v>-7823</v>
      </c>
      <c r="S342" s="1">
        <v>460927</v>
      </c>
      <c r="T342" s="1">
        <v>22117</v>
      </c>
      <c r="U342" s="1">
        <v>5933</v>
      </c>
      <c r="V342" s="1">
        <v>-7078</v>
      </c>
      <c r="W342" s="1">
        <v>530342</v>
      </c>
      <c r="X342" s="1">
        <v>32576</v>
      </c>
      <c r="Y342" s="1">
        <v>3693</v>
      </c>
      <c r="Z342" s="1">
        <v>-4999</v>
      </c>
      <c r="AA342" s="1">
        <v>384368</v>
      </c>
      <c r="AB342" s="1">
        <v>37026</v>
      </c>
      <c r="AC342" s="1">
        <v>3212</v>
      </c>
      <c r="AD342" s="1">
        <v>1111</v>
      </c>
      <c r="AE342" s="1">
        <v>316265</v>
      </c>
      <c r="AF342" s="1">
        <v>36975</v>
      </c>
      <c r="AG342" s="1">
        <v>4246</v>
      </c>
      <c r="AH342" s="1">
        <v>-5131</v>
      </c>
      <c r="AI342">
        <v>-16.89</v>
      </c>
      <c r="AJ342">
        <v>96.6</v>
      </c>
      <c r="AK342">
        <v>302</v>
      </c>
    </row>
    <row r="343" spans="1:37" x14ac:dyDescent="0.2">
      <c r="A343" t="s">
        <v>555</v>
      </c>
      <c r="B343">
        <v>1175496</v>
      </c>
      <c r="C343" s="1">
        <v>1451</v>
      </c>
      <c r="D343" s="1">
        <v>211154</v>
      </c>
      <c r="E343" t="s">
        <v>556</v>
      </c>
      <c r="G343" s="1">
        <v>275942</v>
      </c>
      <c r="H343" s="1">
        <v>176732</v>
      </c>
      <c r="I343" s="1">
        <v>302307</v>
      </c>
      <c r="J343" s="1">
        <v>26429</v>
      </c>
      <c r="K343" s="1">
        <v>296143</v>
      </c>
      <c r="L343" s="1">
        <v>169933</v>
      </c>
      <c r="M343" s="1">
        <v>311958</v>
      </c>
      <c r="N343" s="1">
        <v>25154</v>
      </c>
      <c r="O343" s="1">
        <v>254693</v>
      </c>
      <c r="P343" s="1">
        <v>168419</v>
      </c>
      <c r="Q343" s="1">
        <v>68537</v>
      </c>
      <c r="R343" s="1">
        <v>6053</v>
      </c>
      <c r="S343" s="1">
        <v>267968</v>
      </c>
      <c r="T343" s="1">
        <v>172268</v>
      </c>
      <c r="U343" s="1">
        <v>70203</v>
      </c>
      <c r="V343" s="1">
        <v>4983</v>
      </c>
      <c r="W343" s="1">
        <v>267169</v>
      </c>
      <c r="X343" s="1">
        <v>167084</v>
      </c>
      <c r="Y343" s="1">
        <v>64139</v>
      </c>
      <c r="Z343" s="1">
        <v>5357</v>
      </c>
      <c r="AA343" s="1">
        <v>275942</v>
      </c>
      <c r="AB343" s="1">
        <v>176732</v>
      </c>
      <c r="AC343" s="1">
        <v>78393</v>
      </c>
      <c r="AD343" s="1">
        <v>968</v>
      </c>
      <c r="AE343" s="1">
        <v>279879</v>
      </c>
      <c r="AF343" s="1">
        <v>195806</v>
      </c>
      <c r="AG343" s="1">
        <v>76213</v>
      </c>
      <c r="AH343" s="1">
        <v>2163</v>
      </c>
      <c r="AI343">
        <v>5.77</v>
      </c>
      <c r="AJ343">
        <v>15.15</v>
      </c>
      <c r="AK343">
        <v>35.49</v>
      </c>
    </row>
    <row r="344" spans="1:37" x14ac:dyDescent="0.2">
      <c r="A344" t="s">
        <v>557</v>
      </c>
      <c r="B344">
        <v>765016</v>
      </c>
      <c r="C344" s="1">
        <v>1.2</v>
      </c>
      <c r="D344" s="1">
        <v>22302</v>
      </c>
      <c r="E344" t="s">
        <v>38</v>
      </c>
      <c r="G344" s="1">
        <v>135077.59</v>
      </c>
      <c r="H344" s="1">
        <v>119840.42</v>
      </c>
      <c r="J344" s="1">
        <v>-26404.28</v>
      </c>
      <c r="K344" s="1">
        <v>160683.35999999999</v>
      </c>
      <c r="L344" s="1">
        <v>124068.79</v>
      </c>
      <c r="N344" s="1">
        <v>-72104.759999999995</v>
      </c>
      <c r="O344" s="1">
        <v>129135.67</v>
      </c>
      <c r="P344" s="1">
        <v>108347.54</v>
      </c>
      <c r="R344" s="1">
        <v>-4307.72</v>
      </c>
      <c r="S344" s="1">
        <v>115922.62</v>
      </c>
      <c r="T344" s="1">
        <v>107920.86</v>
      </c>
      <c r="V344" s="1">
        <v>-3658.62</v>
      </c>
      <c r="W344" s="1">
        <v>132338.49</v>
      </c>
      <c r="X344" s="1">
        <v>121385.26</v>
      </c>
      <c r="Z344" s="1">
        <v>-1684.25</v>
      </c>
      <c r="AA344" s="1">
        <v>135077.59</v>
      </c>
      <c r="AB344" s="1">
        <v>119840.42</v>
      </c>
      <c r="AD344" s="1">
        <v>-1495.27</v>
      </c>
      <c r="AE344" s="1">
        <v>130239.55</v>
      </c>
      <c r="AF344" s="1">
        <v>109114.81</v>
      </c>
      <c r="AH344" s="1">
        <v>-2459.73</v>
      </c>
      <c r="AI344">
        <v>-67.569999999999993</v>
      </c>
      <c r="AJ344">
        <v>-76</v>
      </c>
      <c r="AK344">
        <v>-98.18</v>
      </c>
    </row>
    <row r="345" spans="1:37" x14ac:dyDescent="0.2">
      <c r="A345" t="s">
        <v>558</v>
      </c>
      <c r="B345">
        <v>1187640</v>
      </c>
      <c r="C345" s="1">
        <v>504.6</v>
      </c>
      <c r="D345" s="1">
        <v>78390</v>
      </c>
      <c r="E345" t="s">
        <v>559</v>
      </c>
      <c r="G345" s="1">
        <v>78982</v>
      </c>
      <c r="H345" s="1">
        <v>28579</v>
      </c>
      <c r="I345" s="1">
        <v>66381</v>
      </c>
      <c r="J345" s="1">
        <v>-4083</v>
      </c>
      <c r="K345" s="1">
        <v>98649</v>
      </c>
      <c r="L345" s="1">
        <v>34541</v>
      </c>
      <c r="M345" s="1">
        <v>93116</v>
      </c>
      <c r="N345" s="1">
        <v>7963</v>
      </c>
      <c r="S345" s="1">
        <v>80422</v>
      </c>
      <c r="T345" s="1">
        <v>28700</v>
      </c>
      <c r="U345" s="1">
        <v>34394</v>
      </c>
      <c r="V345" s="1">
        <v>-37</v>
      </c>
      <c r="AA345" s="1">
        <v>78982</v>
      </c>
      <c r="AB345" s="1">
        <v>28579</v>
      </c>
      <c r="AC345" s="1">
        <v>35659</v>
      </c>
      <c r="AD345" s="1">
        <v>-2026</v>
      </c>
      <c r="AI345">
        <v>27.57</v>
      </c>
      <c r="AJ345">
        <v>0.73</v>
      </c>
      <c r="AK345">
        <v>-22.62</v>
      </c>
    </row>
    <row r="346" spans="1:37" x14ac:dyDescent="0.2">
      <c r="A346" t="s">
        <v>560</v>
      </c>
      <c r="B346">
        <v>730010</v>
      </c>
      <c r="C346" s="1">
        <v>1160</v>
      </c>
      <c r="D346" s="1">
        <v>755158</v>
      </c>
      <c r="E346" t="s">
        <v>561</v>
      </c>
      <c r="G346" s="1">
        <v>20710480</v>
      </c>
      <c r="H346" s="1">
        <v>592871</v>
      </c>
      <c r="I346" s="1">
        <v>5530908</v>
      </c>
      <c r="J346" s="1">
        <v>83882</v>
      </c>
      <c r="K346" s="1">
        <v>20547562</v>
      </c>
      <c r="L346" s="1">
        <v>594607</v>
      </c>
      <c r="M346" s="1">
        <v>4340241</v>
      </c>
      <c r="N346" s="1">
        <v>33549</v>
      </c>
      <c r="O346" s="1">
        <v>23650769</v>
      </c>
      <c r="P346" s="1">
        <v>687864</v>
      </c>
      <c r="Q346" s="1">
        <v>1591011</v>
      </c>
      <c r="R346" s="1">
        <v>32061</v>
      </c>
      <c r="S346" s="1">
        <v>21932604</v>
      </c>
      <c r="T346" s="1">
        <v>618825</v>
      </c>
      <c r="U346" s="1">
        <v>1532666</v>
      </c>
      <c r="V346" s="1">
        <v>22070</v>
      </c>
      <c r="W346" s="1">
        <v>21579394</v>
      </c>
      <c r="X346" s="1">
        <v>620462</v>
      </c>
      <c r="Y346" s="1">
        <v>1368634</v>
      </c>
      <c r="Z346" s="1">
        <v>9438</v>
      </c>
      <c r="AA346" s="1">
        <v>20710480</v>
      </c>
      <c r="AB346" s="1">
        <v>592871</v>
      </c>
      <c r="AC346" s="1">
        <v>1483583</v>
      </c>
      <c r="AD346" s="1">
        <v>47719</v>
      </c>
      <c r="AE346" s="1">
        <v>22318164</v>
      </c>
      <c r="AF346" s="1">
        <v>553529</v>
      </c>
      <c r="AG346" s="1">
        <v>1405021</v>
      </c>
      <c r="AH346" s="1">
        <v>9141</v>
      </c>
      <c r="AI346">
        <v>-1.51</v>
      </c>
      <c r="AJ346">
        <v>69.48</v>
      </c>
      <c r="AK346">
        <v>49.24</v>
      </c>
    </row>
    <row r="347" spans="1:37" x14ac:dyDescent="0.2">
      <c r="A347" t="s">
        <v>562</v>
      </c>
      <c r="B347">
        <v>1102532</v>
      </c>
      <c r="C347" s="1">
        <v>358.8</v>
      </c>
      <c r="D347" s="1">
        <v>282094</v>
      </c>
      <c r="E347" t="s">
        <v>563</v>
      </c>
      <c r="G347" s="1">
        <v>950491</v>
      </c>
      <c r="H347" s="1">
        <v>301769</v>
      </c>
      <c r="I347" s="1">
        <v>228343</v>
      </c>
      <c r="J347" s="1">
        <v>325133</v>
      </c>
      <c r="K347" s="1">
        <v>2997391</v>
      </c>
      <c r="L347" s="1">
        <v>-204442</v>
      </c>
      <c r="M347" s="1">
        <v>400280</v>
      </c>
      <c r="N347" s="1">
        <v>-869402</v>
      </c>
      <c r="S347" s="1">
        <v>895611</v>
      </c>
      <c r="T347" s="1">
        <v>335422</v>
      </c>
      <c r="U347" s="1">
        <v>31889</v>
      </c>
      <c r="V347" s="1">
        <v>30547</v>
      </c>
      <c r="W347" s="1">
        <v>880459</v>
      </c>
      <c r="X347" s="1">
        <v>304120</v>
      </c>
      <c r="Y347" s="1">
        <v>31728</v>
      </c>
      <c r="Z347" s="1">
        <v>4736</v>
      </c>
      <c r="AA347" s="1">
        <v>950491</v>
      </c>
      <c r="AB347" s="1">
        <v>301769</v>
      </c>
      <c r="AC347" s="1">
        <v>63710</v>
      </c>
      <c r="AD347" s="1">
        <v>12844</v>
      </c>
      <c r="AE347" s="1">
        <v>1034959</v>
      </c>
      <c r="AF347" s="1">
        <v>231483</v>
      </c>
      <c r="AG347" s="1">
        <v>36057</v>
      </c>
      <c r="AH347" s="1">
        <v>470506</v>
      </c>
      <c r="AI347">
        <v>-10.8</v>
      </c>
      <c r="AJ347">
        <v>22.94</v>
      </c>
      <c r="AK347">
        <v>-98.88</v>
      </c>
    </row>
    <row r="348" spans="1:37" x14ac:dyDescent="0.2">
      <c r="A348" t="s">
        <v>564</v>
      </c>
      <c r="B348">
        <v>425017</v>
      </c>
      <c r="C348" s="1">
        <v>4600</v>
      </c>
      <c r="D348" s="1">
        <v>853538</v>
      </c>
      <c r="E348" t="s">
        <v>565</v>
      </c>
      <c r="G348" s="1">
        <v>1379921</v>
      </c>
      <c r="H348" s="1">
        <v>524642</v>
      </c>
      <c r="I348" s="1">
        <v>482295</v>
      </c>
      <c r="J348" s="1">
        <v>51535</v>
      </c>
      <c r="K348" s="1">
        <v>1322056</v>
      </c>
      <c r="L348" s="1">
        <v>501419</v>
      </c>
      <c r="M348" s="1">
        <v>297070</v>
      </c>
      <c r="N348" s="1">
        <v>33068</v>
      </c>
      <c r="O348" s="1">
        <v>1433773</v>
      </c>
      <c r="P348" s="1">
        <v>587313</v>
      </c>
      <c r="Q348" s="1">
        <v>141873</v>
      </c>
      <c r="R348" s="1">
        <v>12096</v>
      </c>
      <c r="S348" s="1">
        <v>1395244</v>
      </c>
      <c r="T348" s="1">
        <v>533711</v>
      </c>
      <c r="U348" s="1">
        <v>85426</v>
      </c>
      <c r="V348" s="1">
        <v>1538</v>
      </c>
      <c r="W348" s="1">
        <v>1408704</v>
      </c>
      <c r="X348" s="1">
        <v>532173</v>
      </c>
      <c r="Y348" s="1">
        <v>106551</v>
      </c>
      <c r="Z348" s="1">
        <v>7531</v>
      </c>
      <c r="AA348" s="1">
        <v>1379921</v>
      </c>
      <c r="AB348" s="1">
        <v>524642</v>
      </c>
      <c r="AC348" s="1">
        <v>112362</v>
      </c>
      <c r="AD348" s="1">
        <v>8329</v>
      </c>
      <c r="AE348" s="1">
        <v>1363659</v>
      </c>
      <c r="AF348" s="1">
        <v>516242</v>
      </c>
      <c r="AG348" s="1">
        <v>117617</v>
      </c>
      <c r="AH348" s="1">
        <v>11072</v>
      </c>
      <c r="AI348">
        <v>3.35</v>
      </c>
      <c r="AJ348">
        <v>15.59</v>
      </c>
      <c r="AK348">
        <v>88.79</v>
      </c>
    </row>
    <row r="349" spans="1:37" x14ac:dyDescent="0.2">
      <c r="A349" t="s">
        <v>566</v>
      </c>
      <c r="B349">
        <v>386011</v>
      </c>
      <c r="C349" s="1">
        <v>823.3</v>
      </c>
      <c r="D349" s="1">
        <v>247211</v>
      </c>
      <c r="E349" t="s">
        <v>567</v>
      </c>
      <c r="G349" s="1">
        <v>204853</v>
      </c>
      <c r="H349" s="1">
        <v>102874</v>
      </c>
      <c r="I349" s="1">
        <v>134103</v>
      </c>
      <c r="J349" s="1">
        <v>20343</v>
      </c>
      <c r="K349" s="1">
        <v>202598</v>
      </c>
      <c r="L349" s="1">
        <v>91266</v>
      </c>
      <c r="M349" s="1">
        <v>125385</v>
      </c>
      <c r="N349" s="1">
        <v>16617</v>
      </c>
      <c r="S349" s="1">
        <v>213210</v>
      </c>
      <c r="T349" s="1">
        <v>108089</v>
      </c>
      <c r="U349" s="1">
        <v>55237</v>
      </c>
      <c r="V349" s="1">
        <v>11874</v>
      </c>
      <c r="AA349" s="1">
        <v>204853</v>
      </c>
      <c r="AB349" s="1">
        <v>102874</v>
      </c>
      <c r="AC349" s="1">
        <v>76602</v>
      </c>
      <c r="AD349" s="1">
        <v>17287</v>
      </c>
      <c r="AI349">
        <v>6.81</v>
      </c>
      <c r="AJ349">
        <v>95.21</v>
      </c>
      <c r="AK349">
        <v>169.43</v>
      </c>
    </row>
    <row r="350" spans="1:37" x14ac:dyDescent="0.2">
      <c r="A350" t="s">
        <v>568</v>
      </c>
      <c r="B350">
        <v>1083955</v>
      </c>
      <c r="C350" s="1">
        <v>50200</v>
      </c>
      <c r="D350" s="1">
        <v>2288814</v>
      </c>
      <c r="E350" t="s">
        <v>569</v>
      </c>
      <c r="G350" s="1">
        <v>224498.38</v>
      </c>
      <c r="H350" s="1">
        <v>174738.71</v>
      </c>
      <c r="I350" s="1">
        <v>168662.81</v>
      </c>
      <c r="J350" s="1">
        <v>50718.83</v>
      </c>
      <c r="K350" s="1">
        <v>171752.95999999999</v>
      </c>
      <c r="L350" s="1">
        <v>145014.72</v>
      </c>
      <c r="M350" s="1">
        <v>149113.23000000001</v>
      </c>
      <c r="N350" s="1">
        <v>44612.1</v>
      </c>
      <c r="O350" s="1">
        <v>248836.01</v>
      </c>
      <c r="P350" s="1">
        <v>216622.34</v>
      </c>
      <c r="Q350" s="1">
        <v>69690.48</v>
      </c>
      <c r="R350" s="1">
        <v>35423.79</v>
      </c>
      <c r="S350" s="1">
        <v>219200.23</v>
      </c>
      <c r="T350" s="1">
        <v>189014.09</v>
      </c>
      <c r="U350" s="1">
        <v>47666.59</v>
      </c>
      <c r="V350" s="1">
        <v>21705.56</v>
      </c>
      <c r="W350" s="1">
        <v>237171.22</v>
      </c>
      <c r="X350" s="1">
        <v>184293.82</v>
      </c>
      <c r="Y350" s="1">
        <v>51933.02</v>
      </c>
      <c r="Z350" s="1">
        <v>21010.42</v>
      </c>
      <c r="AA350" s="1">
        <v>224498.38</v>
      </c>
      <c r="AB350" s="1">
        <v>174738.71</v>
      </c>
      <c r="AC350" s="1">
        <v>93691.43</v>
      </c>
      <c r="AD350" s="1">
        <v>28464.84</v>
      </c>
      <c r="AI350">
        <v>20.43</v>
      </c>
      <c r="AJ350">
        <v>192.66</v>
      </c>
      <c r="AK350">
        <v>1473.59</v>
      </c>
    </row>
    <row r="351" spans="1:37" x14ac:dyDescent="0.2">
      <c r="A351" t="s">
        <v>570</v>
      </c>
      <c r="B351">
        <v>1085208</v>
      </c>
      <c r="C351" s="1">
        <v>521.6</v>
      </c>
      <c r="D351" s="1">
        <v>487880</v>
      </c>
      <c r="E351" t="s">
        <v>38</v>
      </c>
      <c r="G351" s="1">
        <v>419386.77</v>
      </c>
      <c r="H351" s="1">
        <v>200271.35999999999</v>
      </c>
      <c r="I351" s="1">
        <v>101620.01</v>
      </c>
      <c r="J351" s="1">
        <v>-51900.46</v>
      </c>
      <c r="K351" s="1">
        <v>440078.43</v>
      </c>
      <c r="L351" s="1">
        <v>237782.5</v>
      </c>
      <c r="M351" s="1">
        <v>121355.8</v>
      </c>
      <c r="N351" s="1">
        <v>-68020.759999999995</v>
      </c>
      <c r="O351" s="1">
        <v>323475.57</v>
      </c>
      <c r="P351" s="1">
        <v>144888.76</v>
      </c>
      <c r="Q351" s="1">
        <v>6251.65</v>
      </c>
      <c r="R351" s="1">
        <v>-23072.57</v>
      </c>
      <c r="S351" s="1">
        <v>359202.3</v>
      </c>
      <c r="T351" s="1">
        <v>169463.23</v>
      </c>
      <c r="U351" s="1">
        <v>4238.6000000000004</v>
      </c>
      <c r="V351" s="1">
        <v>-24757.22</v>
      </c>
      <c r="W351" s="1">
        <v>429217.07</v>
      </c>
      <c r="X351" s="1">
        <v>212327.54</v>
      </c>
      <c r="Y351" s="1">
        <v>8491.91</v>
      </c>
      <c r="Z351" s="1">
        <v>-26698.959999999999</v>
      </c>
      <c r="AA351" s="1">
        <v>419386.77</v>
      </c>
      <c r="AB351" s="1">
        <v>200271.35999999999</v>
      </c>
      <c r="AC351" s="1">
        <v>5364.74</v>
      </c>
      <c r="AD351" s="1">
        <v>-22308.7</v>
      </c>
      <c r="AE351" s="1">
        <v>458244.36</v>
      </c>
      <c r="AF351" s="1">
        <v>224410.48</v>
      </c>
      <c r="AG351" s="1">
        <v>63559.72</v>
      </c>
      <c r="AH351" s="1">
        <v>4733.96</v>
      </c>
      <c r="AI351">
        <v>7.82</v>
      </c>
      <c r="AJ351">
        <v>0.97</v>
      </c>
      <c r="AK351">
        <v>61.86</v>
      </c>
    </row>
    <row r="352" spans="1:37" x14ac:dyDescent="0.2">
      <c r="A352" t="s">
        <v>571</v>
      </c>
      <c r="B352">
        <v>1182260</v>
      </c>
      <c r="C352" s="1">
        <v>87.9</v>
      </c>
      <c r="D352" s="1">
        <v>6712</v>
      </c>
      <c r="E352" t="s">
        <v>572</v>
      </c>
      <c r="G352" s="1">
        <v>2439.84</v>
      </c>
      <c r="H352" s="1">
        <v>981.04</v>
      </c>
      <c r="J352" s="1">
        <v>-1134.22</v>
      </c>
      <c r="K352" s="1">
        <v>4327.01</v>
      </c>
      <c r="L352" s="1">
        <v>2092.7800000000002</v>
      </c>
      <c r="M352" s="1">
        <v>674.62</v>
      </c>
      <c r="N352" s="1">
        <v>7199.6</v>
      </c>
      <c r="S352" s="1">
        <v>1905.18</v>
      </c>
      <c r="T352" s="1">
        <v>566.5</v>
      </c>
      <c r="V352" s="1">
        <v>-340.57</v>
      </c>
      <c r="AA352" s="1">
        <v>2439.84</v>
      </c>
      <c r="AB352" s="1">
        <v>981.04</v>
      </c>
      <c r="AD352" s="1">
        <v>-678.34</v>
      </c>
      <c r="AI352">
        <v>-1.79</v>
      </c>
      <c r="AJ352">
        <v>14.9</v>
      </c>
      <c r="AK352">
        <v>-62.64</v>
      </c>
    </row>
    <row r="353" spans="1:37" x14ac:dyDescent="0.2">
      <c r="A353" t="s">
        <v>573</v>
      </c>
      <c r="B353">
        <v>1175934</v>
      </c>
      <c r="C353" s="1">
        <v>958.4</v>
      </c>
      <c r="D353" s="1">
        <v>1800523</v>
      </c>
      <c r="E353" t="s">
        <v>574</v>
      </c>
      <c r="G353" s="1">
        <v>3493957</v>
      </c>
      <c r="H353" s="1">
        <v>2148428</v>
      </c>
      <c r="I353" s="1">
        <v>282194</v>
      </c>
      <c r="J353" s="1">
        <v>193359</v>
      </c>
      <c r="K353" s="1">
        <v>3126464</v>
      </c>
      <c r="L353" s="1">
        <v>1858111</v>
      </c>
      <c r="M353" s="1">
        <v>659364</v>
      </c>
      <c r="N353" s="1">
        <v>443881</v>
      </c>
      <c r="O353" s="1">
        <v>4369157</v>
      </c>
      <c r="P353" s="1">
        <v>2456538</v>
      </c>
      <c r="Q353" s="1">
        <v>253035</v>
      </c>
      <c r="R353" s="1">
        <v>175407</v>
      </c>
      <c r="S353" s="1">
        <v>4040163</v>
      </c>
      <c r="T353" s="1">
        <v>2320650</v>
      </c>
      <c r="U353" s="1">
        <v>202728</v>
      </c>
      <c r="V353" s="1">
        <v>142045</v>
      </c>
      <c r="W353" s="1">
        <v>3885596</v>
      </c>
      <c r="X353" s="1">
        <v>2178552</v>
      </c>
      <c r="Y353" s="1">
        <v>84672</v>
      </c>
      <c r="Z353" s="1">
        <v>49347</v>
      </c>
      <c r="AA353" s="1">
        <v>3493957</v>
      </c>
      <c r="AB353" s="1">
        <v>2148428</v>
      </c>
      <c r="AC353" s="1">
        <v>242015</v>
      </c>
      <c r="AD353" s="1">
        <v>196867</v>
      </c>
      <c r="AE353" s="1">
        <v>3052705</v>
      </c>
      <c r="AF353" s="1">
        <v>1971261</v>
      </c>
      <c r="AG353" s="1">
        <v>-8309</v>
      </c>
      <c r="AH353" s="1">
        <v>-15266</v>
      </c>
      <c r="AI353">
        <v>17.670000000000002</v>
      </c>
      <c r="AJ353">
        <v>69.19</v>
      </c>
      <c r="AK353">
        <v>79.790000000000006</v>
      </c>
    </row>
    <row r="354" spans="1:37" x14ac:dyDescent="0.2">
      <c r="A354" t="s">
        <v>575</v>
      </c>
      <c r="B354">
        <v>797035</v>
      </c>
      <c r="C354" s="1">
        <v>19010</v>
      </c>
      <c r="D354" s="1">
        <v>421674</v>
      </c>
      <c r="E354" t="s">
        <v>576</v>
      </c>
      <c r="G354" s="1">
        <v>483031</v>
      </c>
      <c r="H354" s="1">
        <v>373965</v>
      </c>
      <c r="I354" s="1">
        <v>313684</v>
      </c>
      <c r="J354" s="1">
        <v>6610</v>
      </c>
      <c r="K354" s="1">
        <v>462002</v>
      </c>
      <c r="L354" s="1">
        <v>370713</v>
      </c>
      <c r="M354" s="1">
        <v>375676</v>
      </c>
      <c r="N354" s="1">
        <v>15865</v>
      </c>
      <c r="S354" s="1">
        <v>480393</v>
      </c>
      <c r="T354" s="1">
        <v>370757</v>
      </c>
      <c r="U354" s="1">
        <v>81024</v>
      </c>
      <c r="V354" s="1">
        <v>-1058</v>
      </c>
      <c r="W354" s="1">
        <v>495465</v>
      </c>
      <c r="X354" s="1">
        <v>371893</v>
      </c>
      <c r="Y354" s="1">
        <v>97114</v>
      </c>
      <c r="Z354" s="1">
        <v>2172</v>
      </c>
      <c r="AA354" s="1">
        <v>483031</v>
      </c>
      <c r="AB354" s="1">
        <v>373965</v>
      </c>
      <c r="AC354" s="1">
        <v>78927</v>
      </c>
      <c r="AD354" s="1">
        <v>-2734</v>
      </c>
      <c r="AE354" s="1">
        <v>487069</v>
      </c>
      <c r="AF354" s="1">
        <v>376439</v>
      </c>
      <c r="AG354" s="1">
        <v>90849</v>
      </c>
      <c r="AH354" s="1">
        <v>4795</v>
      </c>
      <c r="AI354">
        <v>-16.86</v>
      </c>
      <c r="AJ354">
        <v>-13.06</v>
      </c>
      <c r="AK354">
        <v>-32.950000000000003</v>
      </c>
    </row>
    <row r="355" spans="1:37" x14ac:dyDescent="0.2">
      <c r="A355" t="s">
        <v>577</v>
      </c>
      <c r="B355">
        <v>1094119</v>
      </c>
      <c r="C355" s="1">
        <v>2197</v>
      </c>
      <c r="D355" s="1">
        <v>1267261</v>
      </c>
      <c r="E355" t="s">
        <v>578</v>
      </c>
      <c r="G355" s="1">
        <v>1357614.01</v>
      </c>
      <c r="H355" s="1">
        <v>946265.23</v>
      </c>
      <c r="I355" s="1">
        <v>586995.6</v>
      </c>
      <c r="J355" s="1">
        <v>52742.92</v>
      </c>
      <c r="K355" s="1">
        <v>1287247.72</v>
      </c>
      <c r="L355" s="1">
        <v>885064.19</v>
      </c>
      <c r="M355" s="1">
        <v>516916.43</v>
      </c>
      <c r="N355" s="1">
        <v>30046.07</v>
      </c>
      <c r="O355" s="1">
        <v>1247056.26</v>
      </c>
      <c r="P355" s="1">
        <v>876856.99</v>
      </c>
      <c r="Q355" s="1">
        <v>155415.06</v>
      </c>
      <c r="R355" s="1">
        <v>17508.580000000002</v>
      </c>
      <c r="S355" s="1">
        <v>1241479.3500000001</v>
      </c>
      <c r="T355" s="1">
        <v>876564.88</v>
      </c>
      <c r="U355" s="1">
        <v>150910.49</v>
      </c>
      <c r="V355" s="1">
        <v>24871.87</v>
      </c>
      <c r="W355" s="1">
        <v>1394640.37</v>
      </c>
      <c r="X355" s="1">
        <v>936776.11</v>
      </c>
      <c r="Y355" s="1">
        <v>163658.92000000001</v>
      </c>
      <c r="Z355" s="1">
        <v>14738.15</v>
      </c>
      <c r="AA355" s="1">
        <v>1357614.01</v>
      </c>
      <c r="AB355" s="1">
        <v>946265.23</v>
      </c>
      <c r="AC355" s="1">
        <v>142251.24</v>
      </c>
      <c r="AD355" s="1">
        <v>13887.78</v>
      </c>
      <c r="AE355" s="1">
        <v>1302985.3999999999</v>
      </c>
      <c r="AF355" s="1">
        <v>947048</v>
      </c>
      <c r="AG355" s="1">
        <v>154855.4</v>
      </c>
      <c r="AH355" s="1">
        <v>14331.73</v>
      </c>
      <c r="AI355">
        <v>-5.86</v>
      </c>
      <c r="AJ355">
        <v>8.85</v>
      </c>
      <c r="AK355">
        <v>56.55</v>
      </c>
    </row>
    <row r="356" spans="1:37" x14ac:dyDescent="0.2">
      <c r="A356" t="s">
        <v>579</v>
      </c>
      <c r="B356">
        <v>1176908</v>
      </c>
      <c r="C356" s="1">
        <v>107.2</v>
      </c>
      <c r="D356" s="1">
        <v>2114</v>
      </c>
      <c r="E356" t="s">
        <v>38</v>
      </c>
      <c r="G356" s="1">
        <v>693</v>
      </c>
      <c r="H356" s="1">
        <v>-6594</v>
      </c>
      <c r="I356" s="1">
        <v>-111</v>
      </c>
      <c r="J356" s="1">
        <v>-8455</v>
      </c>
      <c r="K356" s="1">
        <v>4236</v>
      </c>
      <c r="L356" s="1">
        <v>-5451</v>
      </c>
      <c r="M356" s="1">
        <v>1219</v>
      </c>
      <c r="N356" s="1">
        <v>-16122</v>
      </c>
      <c r="S356" s="1">
        <v>1441</v>
      </c>
      <c r="T356" s="1">
        <v>-1120</v>
      </c>
      <c r="V356" s="1">
        <v>2092</v>
      </c>
      <c r="AA356" s="1">
        <v>693</v>
      </c>
      <c r="AB356" s="1">
        <v>-6594</v>
      </c>
      <c r="AC356" s="1">
        <v>20</v>
      </c>
      <c r="AD356" s="1">
        <v>-720</v>
      </c>
      <c r="AI356">
        <v>-42.49</v>
      </c>
      <c r="AJ356">
        <v>-89.8</v>
      </c>
      <c r="AK356">
        <v>-99.43</v>
      </c>
    </row>
    <row r="357" spans="1:37" x14ac:dyDescent="0.2">
      <c r="A357" t="s">
        <v>580</v>
      </c>
      <c r="B357">
        <v>106013</v>
      </c>
      <c r="C357" s="1">
        <v>1225</v>
      </c>
      <c r="D357" s="1">
        <v>731184</v>
      </c>
      <c r="E357" t="s">
        <v>581</v>
      </c>
      <c r="G357" s="1">
        <v>97367.61</v>
      </c>
      <c r="H357" s="1">
        <v>96813.26</v>
      </c>
      <c r="I357" s="1">
        <v>160.47</v>
      </c>
      <c r="J357" s="1">
        <v>-16174.45</v>
      </c>
      <c r="K357" s="1">
        <v>22888</v>
      </c>
      <c r="L357" s="1">
        <v>22598</v>
      </c>
      <c r="M357" s="1">
        <v>170</v>
      </c>
      <c r="N357" s="1">
        <v>-1775</v>
      </c>
      <c r="S357" s="1">
        <v>368070.66</v>
      </c>
      <c r="T357" s="1">
        <v>148027.43</v>
      </c>
      <c r="U357" s="1">
        <v>50.58</v>
      </c>
      <c r="V357" s="1">
        <v>42682.78</v>
      </c>
      <c r="AA357" s="1">
        <v>97367.61</v>
      </c>
      <c r="AB357" s="1">
        <v>96813.26</v>
      </c>
      <c r="AC357" s="1">
        <v>51.06</v>
      </c>
      <c r="AD357" s="1">
        <v>-14431.18</v>
      </c>
      <c r="AI357">
        <v>-2.2599999999999998</v>
      </c>
      <c r="AJ357">
        <v>-9.02</v>
      </c>
      <c r="AK357">
        <v>106263.63</v>
      </c>
    </row>
    <row r="358" spans="1:37" x14ac:dyDescent="0.2">
      <c r="A358" t="s">
        <v>582</v>
      </c>
      <c r="B358">
        <v>1096007</v>
      </c>
      <c r="C358" s="1">
        <v>100.2</v>
      </c>
      <c r="D358" s="1">
        <v>4945</v>
      </c>
      <c r="E358" t="s">
        <v>38</v>
      </c>
      <c r="G358" s="1">
        <v>3849</v>
      </c>
      <c r="H358" s="1">
        <v>2896</v>
      </c>
      <c r="I358" s="1">
        <v>162</v>
      </c>
      <c r="J358" s="1">
        <v>-1319</v>
      </c>
      <c r="K358" s="1">
        <v>5253</v>
      </c>
      <c r="L358" s="1">
        <v>4228</v>
      </c>
      <c r="M358" s="1">
        <v>99</v>
      </c>
      <c r="N358" s="1">
        <v>-4743</v>
      </c>
      <c r="S358" s="1">
        <v>3777</v>
      </c>
      <c r="T358" s="1">
        <v>2183</v>
      </c>
      <c r="U358" s="1">
        <v>30</v>
      </c>
      <c r="V358" s="1">
        <v>-738</v>
      </c>
      <c r="AA358" s="1">
        <v>3849</v>
      </c>
      <c r="AB358" s="1">
        <v>2896</v>
      </c>
      <c r="AC358" s="1">
        <v>60</v>
      </c>
      <c r="AD358" s="1">
        <v>-599</v>
      </c>
      <c r="AI358">
        <v>0.2</v>
      </c>
      <c r="AJ358">
        <v>-20.79</v>
      </c>
      <c r="AK358">
        <v>-79.42</v>
      </c>
    </row>
    <row r="359" spans="1:37" x14ac:dyDescent="0.2">
      <c r="A359" t="s">
        <v>583</v>
      </c>
      <c r="B359">
        <v>280016</v>
      </c>
      <c r="C359" s="1">
        <v>15830</v>
      </c>
      <c r="D359" s="1">
        <v>1356336</v>
      </c>
      <c r="E359" t="s">
        <v>584</v>
      </c>
      <c r="G359" s="1">
        <v>2301572</v>
      </c>
      <c r="H359" s="1">
        <v>669530</v>
      </c>
      <c r="I359" s="1">
        <v>2084055</v>
      </c>
      <c r="J359" s="1">
        <v>135402</v>
      </c>
      <c r="K359" s="1">
        <v>2152403</v>
      </c>
      <c r="L359" s="1">
        <v>595484</v>
      </c>
      <c r="M359" s="1">
        <v>1764529</v>
      </c>
      <c r="N359" s="1">
        <v>42522</v>
      </c>
      <c r="O359" s="1">
        <v>2655764</v>
      </c>
      <c r="P359" s="1">
        <v>725260</v>
      </c>
      <c r="Q359" s="1">
        <v>565486</v>
      </c>
      <c r="R359" s="1">
        <v>24760</v>
      </c>
      <c r="S359" s="1">
        <v>2695755</v>
      </c>
      <c r="T359" s="1">
        <v>900727</v>
      </c>
      <c r="U359" s="1">
        <v>504068</v>
      </c>
      <c r="V359" s="1">
        <v>22273</v>
      </c>
      <c r="W359" s="1">
        <v>2300437</v>
      </c>
      <c r="X359" s="1">
        <v>700823</v>
      </c>
      <c r="Y359" s="1">
        <v>470570</v>
      </c>
      <c r="Z359" s="1">
        <v>1424</v>
      </c>
      <c r="AA359" s="1">
        <v>2301572</v>
      </c>
      <c r="AB359" s="1">
        <v>669530</v>
      </c>
      <c r="AC359" s="1">
        <v>604182</v>
      </c>
      <c r="AD359" s="1">
        <v>58030</v>
      </c>
      <c r="AE359" s="1">
        <v>2225156</v>
      </c>
      <c r="AF359" s="1">
        <v>673483</v>
      </c>
      <c r="AG359" s="1">
        <v>507600</v>
      </c>
      <c r="AH359" s="1">
        <v>16653</v>
      </c>
      <c r="AI359">
        <v>23.64</v>
      </c>
      <c r="AJ359">
        <v>113.49</v>
      </c>
      <c r="AK359">
        <v>126.97</v>
      </c>
    </row>
    <row r="360" spans="1:37" x14ac:dyDescent="0.2">
      <c r="A360" t="s">
        <v>585</v>
      </c>
      <c r="B360">
        <v>1097146</v>
      </c>
      <c r="C360" s="1">
        <v>56.7</v>
      </c>
      <c r="D360" s="1">
        <v>75740</v>
      </c>
      <c r="E360" t="s">
        <v>38</v>
      </c>
      <c r="G360" s="1">
        <v>143732</v>
      </c>
      <c r="H360" s="1">
        <v>117020</v>
      </c>
      <c r="I360" s="1">
        <v>24546</v>
      </c>
      <c r="J360" s="1">
        <v>-23903</v>
      </c>
      <c r="K360" s="1">
        <v>166365</v>
      </c>
      <c r="L360" s="1">
        <v>140481</v>
      </c>
      <c r="M360" s="1">
        <v>31009</v>
      </c>
      <c r="N360" s="1">
        <v>1711</v>
      </c>
      <c r="S360" s="1">
        <v>152686</v>
      </c>
      <c r="T360" s="1">
        <v>126044</v>
      </c>
      <c r="U360" s="1">
        <v>15454</v>
      </c>
      <c r="V360" s="1">
        <v>9024</v>
      </c>
      <c r="AA360" s="1">
        <v>143732</v>
      </c>
      <c r="AB360" s="1">
        <v>117020</v>
      </c>
      <c r="AC360" s="1">
        <v>17039</v>
      </c>
      <c r="AD360" s="1">
        <v>4940</v>
      </c>
      <c r="AI360">
        <v>-5.34</v>
      </c>
      <c r="AJ360">
        <v>13.4</v>
      </c>
      <c r="AK360">
        <v>-27.77</v>
      </c>
    </row>
    <row r="361" spans="1:37" x14ac:dyDescent="0.2">
      <c r="A361" t="s">
        <v>586</v>
      </c>
      <c r="B361">
        <v>1087949</v>
      </c>
      <c r="C361" s="1">
        <v>3.2</v>
      </c>
      <c r="D361" s="1">
        <v>787</v>
      </c>
      <c r="E361" t="s">
        <v>587</v>
      </c>
      <c r="G361" s="1">
        <v>576153.06000000006</v>
      </c>
      <c r="H361" s="1">
        <v>-152053.42000000001</v>
      </c>
      <c r="I361" s="1">
        <v>44812.71</v>
      </c>
      <c r="J361" s="1">
        <v>249806.92</v>
      </c>
      <c r="K361" s="1">
        <v>699526.76</v>
      </c>
      <c r="L361" s="1">
        <v>-436113.07</v>
      </c>
      <c r="M361" s="1">
        <v>48472.160000000003</v>
      </c>
      <c r="N361" s="1">
        <v>-164587.93</v>
      </c>
      <c r="O361" s="1">
        <v>525667.99</v>
      </c>
      <c r="P361" s="1">
        <v>-383463.62</v>
      </c>
      <c r="Q361" s="1">
        <v>10900.89</v>
      </c>
      <c r="R361" s="1">
        <v>-83904.62</v>
      </c>
      <c r="S361" s="1">
        <v>530099.63</v>
      </c>
      <c r="T361" s="1">
        <v>-307627.53999999998</v>
      </c>
      <c r="U361" s="1">
        <v>10497.1</v>
      </c>
      <c r="V361" s="1">
        <v>-87872.68</v>
      </c>
      <c r="W361" s="1">
        <v>588086.27</v>
      </c>
      <c r="X361" s="1">
        <v>-207694.95</v>
      </c>
      <c r="Y361" s="1">
        <v>11414.15</v>
      </c>
      <c r="Z361" s="1">
        <v>-38972.21</v>
      </c>
      <c r="AA361" s="1">
        <v>576153.06000000006</v>
      </c>
      <c r="AB361" s="1">
        <v>-152053.42000000001</v>
      </c>
      <c r="AC361" s="1">
        <v>11157.62</v>
      </c>
      <c r="AD361" s="1">
        <v>641982.64</v>
      </c>
      <c r="AE361" s="1">
        <v>654451.46</v>
      </c>
      <c r="AF361" s="1">
        <v>-877435.34</v>
      </c>
      <c r="AG361" s="1">
        <v>13644.79</v>
      </c>
      <c r="AH361" s="1">
        <v>-135878.99</v>
      </c>
      <c r="AI361">
        <v>6.67</v>
      </c>
      <c r="AJ361">
        <v>-15.79</v>
      </c>
      <c r="AK361">
        <v>-64.44</v>
      </c>
    </row>
    <row r="362" spans="1:37" x14ac:dyDescent="0.2">
      <c r="A362" t="s">
        <v>588</v>
      </c>
      <c r="B362">
        <v>1210152</v>
      </c>
      <c r="C362" s="1">
        <v>445.3</v>
      </c>
      <c r="D362" s="1">
        <v>652790</v>
      </c>
      <c r="E362" t="s">
        <v>589</v>
      </c>
      <c r="G362" s="1">
        <v>2336021</v>
      </c>
      <c r="H362" s="1">
        <v>552794</v>
      </c>
      <c r="I362" s="1">
        <v>572211</v>
      </c>
      <c r="J362" s="1">
        <v>28592</v>
      </c>
      <c r="K362" s="1">
        <v>2197706</v>
      </c>
      <c r="L362" s="1">
        <v>527945</v>
      </c>
      <c r="M362" s="1">
        <v>606992</v>
      </c>
      <c r="N362" s="1">
        <v>36497</v>
      </c>
      <c r="S362" s="1">
        <v>2600605</v>
      </c>
      <c r="T362" s="1">
        <v>581595</v>
      </c>
      <c r="U362" s="1">
        <v>120577</v>
      </c>
      <c r="V362" s="1">
        <v>28261</v>
      </c>
      <c r="W362" s="1">
        <v>2499141</v>
      </c>
      <c r="X362" s="1">
        <v>554783</v>
      </c>
      <c r="Y362" s="1">
        <v>127032</v>
      </c>
      <c r="Z362" s="1">
        <v>1769</v>
      </c>
      <c r="AA362" s="1">
        <v>2336021</v>
      </c>
      <c r="AB362" s="1">
        <v>552794</v>
      </c>
      <c r="AC362" s="1">
        <v>136315</v>
      </c>
      <c r="AD362" s="1">
        <v>12780</v>
      </c>
      <c r="AE362" s="1">
        <v>2309054</v>
      </c>
      <c r="AF362" s="1">
        <v>540978</v>
      </c>
      <c r="AG362" s="1">
        <v>166711</v>
      </c>
      <c r="AH362" s="1">
        <v>7047</v>
      </c>
      <c r="AI362">
        <v>25.83</v>
      </c>
      <c r="AJ362">
        <v>50.28</v>
      </c>
      <c r="AK362">
        <v>92.98</v>
      </c>
    </row>
    <row r="363" spans="1:37" x14ac:dyDescent="0.2">
      <c r="A363" t="s">
        <v>590</v>
      </c>
      <c r="B363">
        <v>1118447</v>
      </c>
      <c r="C363" s="1">
        <v>618.5</v>
      </c>
      <c r="D363" s="1">
        <v>1155419</v>
      </c>
      <c r="E363" t="s">
        <v>591</v>
      </c>
      <c r="G363" s="1">
        <v>1814377</v>
      </c>
      <c r="H363" s="1">
        <v>755309</v>
      </c>
      <c r="I363" s="1">
        <v>537318</v>
      </c>
      <c r="J363" s="1">
        <v>49616</v>
      </c>
      <c r="K363" s="1">
        <v>1732339</v>
      </c>
      <c r="L363" s="1">
        <v>732596</v>
      </c>
      <c r="M363" s="1">
        <v>604478</v>
      </c>
      <c r="N363" s="1">
        <v>70452</v>
      </c>
      <c r="O363" s="1">
        <v>2032144</v>
      </c>
      <c r="P363" s="1">
        <v>734141</v>
      </c>
      <c r="Q363" s="1">
        <v>116558</v>
      </c>
      <c r="R363" s="1">
        <v>314</v>
      </c>
      <c r="S363" s="1">
        <v>1991569</v>
      </c>
      <c r="T363" s="1">
        <v>733313</v>
      </c>
      <c r="U363" s="1">
        <v>117849</v>
      </c>
      <c r="V363" s="1">
        <v>2782</v>
      </c>
      <c r="W363" s="1">
        <v>1949472</v>
      </c>
      <c r="X363" s="1">
        <v>730079</v>
      </c>
      <c r="Y363" s="1">
        <v>119941</v>
      </c>
      <c r="Z363" s="1">
        <v>7109</v>
      </c>
      <c r="AA363" s="1">
        <v>1814377</v>
      </c>
      <c r="AB363" s="1">
        <v>755309</v>
      </c>
      <c r="AC363" s="1">
        <v>133064</v>
      </c>
      <c r="AD363" s="1">
        <v>17420</v>
      </c>
      <c r="AE363" s="1">
        <v>1815544</v>
      </c>
      <c r="AF363" s="1">
        <v>737059</v>
      </c>
      <c r="AG363" s="1">
        <v>143837</v>
      </c>
      <c r="AH363" s="1">
        <v>11635</v>
      </c>
      <c r="AI363">
        <v>6.08</v>
      </c>
      <c r="AJ363">
        <v>21.2</v>
      </c>
      <c r="AK363">
        <v>97.59</v>
      </c>
    </row>
    <row r="364" spans="1:37" x14ac:dyDescent="0.2">
      <c r="A364" t="s">
        <v>592</v>
      </c>
      <c r="B364">
        <v>621011</v>
      </c>
      <c r="C364" s="1">
        <v>9145</v>
      </c>
      <c r="D364" s="1">
        <v>1150215</v>
      </c>
      <c r="E364" t="s">
        <v>593</v>
      </c>
      <c r="G364" s="1">
        <v>1252278</v>
      </c>
      <c r="H364" s="1">
        <v>700869</v>
      </c>
      <c r="I364" s="1">
        <v>858086</v>
      </c>
      <c r="J364" s="1">
        <v>77308</v>
      </c>
      <c r="K364" s="1">
        <v>1291669</v>
      </c>
      <c r="L364" s="1">
        <v>697895</v>
      </c>
      <c r="M364" s="1">
        <v>977439</v>
      </c>
      <c r="N364" s="1">
        <v>83170</v>
      </c>
      <c r="O364" s="1">
        <v>1264207</v>
      </c>
      <c r="P364" s="1">
        <v>737024</v>
      </c>
      <c r="Q364" s="1">
        <v>235038</v>
      </c>
      <c r="R364" s="1">
        <v>13856</v>
      </c>
      <c r="S364" s="1">
        <v>1274971</v>
      </c>
      <c r="T364" s="1">
        <v>723074</v>
      </c>
      <c r="U364" s="1">
        <v>215039</v>
      </c>
      <c r="V364" s="1">
        <v>8193</v>
      </c>
      <c r="W364" s="1">
        <v>1242307</v>
      </c>
      <c r="X364" s="1">
        <v>714787</v>
      </c>
      <c r="Y364" s="1">
        <v>188339</v>
      </c>
      <c r="Z364" s="1">
        <v>13824</v>
      </c>
      <c r="AA364" s="1">
        <v>1252278</v>
      </c>
      <c r="AB364" s="1">
        <v>700869</v>
      </c>
      <c r="AC364" s="1">
        <v>177810</v>
      </c>
      <c r="AD364" s="1">
        <v>13127</v>
      </c>
      <c r="AE364" s="1">
        <v>1350088</v>
      </c>
      <c r="AF364" s="1">
        <v>754358</v>
      </c>
      <c r="AG364" s="1">
        <v>258347</v>
      </c>
      <c r="AH364" s="1">
        <v>29971</v>
      </c>
      <c r="AI364">
        <v>11.32</v>
      </c>
      <c r="AJ364">
        <v>25.39</v>
      </c>
      <c r="AK364">
        <v>36.450000000000003</v>
      </c>
    </row>
    <row r="365" spans="1:37" x14ac:dyDescent="0.2">
      <c r="A365" t="s">
        <v>594</v>
      </c>
      <c r="B365">
        <v>413013</v>
      </c>
      <c r="C365" s="1">
        <v>1988</v>
      </c>
      <c r="D365" s="1">
        <v>152224</v>
      </c>
      <c r="E365" t="s">
        <v>595</v>
      </c>
      <c r="G365" s="1">
        <v>294214.44</v>
      </c>
      <c r="H365" s="1">
        <v>71769.31</v>
      </c>
      <c r="I365" s="1">
        <v>500587.23</v>
      </c>
      <c r="J365" s="1">
        <v>9442.08</v>
      </c>
      <c r="K365" s="1">
        <v>224529.44</v>
      </c>
      <c r="L365" s="1">
        <v>61833.1</v>
      </c>
      <c r="M365" s="1">
        <v>818077.13</v>
      </c>
      <c r="N365" s="1">
        <v>21975.99</v>
      </c>
      <c r="O365" s="1">
        <v>339278.25</v>
      </c>
      <c r="P365" s="1">
        <v>68966.47</v>
      </c>
      <c r="Q365" s="1">
        <v>293347.99</v>
      </c>
      <c r="R365" s="1">
        <v>16870.52</v>
      </c>
      <c r="S365" s="1">
        <v>351332.05</v>
      </c>
      <c r="T365" s="1">
        <v>53338.3</v>
      </c>
      <c r="U365" s="1">
        <v>143195.35</v>
      </c>
      <c r="V365" s="1">
        <v>-1662.4</v>
      </c>
      <c r="W365" s="1">
        <v>334255.63</v>
      </c>
      <c r="X365" s="1">
        <v>59086.45</v>
      </c>
      <c r="Y365" s="1">
        <v>122768.36</v>
      </c>
      <c r="Z365" s="1">
        <v>-1728.87</v>
      </c>
      <c r="AA365" s="1">
        <v>294214.44</v>
      </c>
      <c r="AB365" s="1">
        <v>71769.31</v>
      </c>
      <c r="AC365" s="1">
        <v>99796.51</v>
      </c>
      <c r="AD365" s="1">
        <v>-692.93</v>
      </c>
      <c r="AE365" s="1">
        <v>295709.26</v>
      </c>
      <c r="AF365" s="1">
        <v>73558.17</v>
      </c>
      <c r="AG365" s="1">
        <v>231882.42</v>
      </c>
      <c r="AH365" s="1">
        <v>11471.32</v>
      </c>
      <c r="AI365">
        <v>-4.22</v>
      </c>
      <c r="AJ365">
        <v>50.84</v>
      </c>
      <c r="AK365">
        <v>205.42</v>
      </c>
    </row>
    <row r="366" spans="1:37" x14ac:dyDescent="0.2">
      <c r="A366" t="s">
        <v>596</v>
      </c>
      <c r="B366">
        <v>393017</v>
      </c>
      <c r="C366" s="1">
        <v>5131</v>
      </c>
      <c r="D366" s="1">
        <v>209496</v>
      </c>
      <c r="E366" t="s">
        <v>597</v>
      </c>
      <c r="G366" s="1">
        <v>181951</v>
      </c>
      <c r="H366" s="1">
        <v>112692</v>
      </c>
      <c r="I366" s="1">
        <v>325923</v>
      </c>
      <c r="J366" s="1">
        <v>36577</v>
      </c>
      <c r="K366" s="1">
        <v>148126</v>
      </c>
      <c r="L366" s="1">
        <v>96187</v>
      </c>
      <c r="M366" s="1">
        <v>272106</v>
      </c>
      <c r="N366" s="1">
        <v>22869</v>
      </c>
      <c r="O366" s="1">
        <v>195630</v>
      </c>
      <c r="P366" s="1">
        <v>97801</v>
      </c>
      <c r="Q366" s="1">
        <v>234904</v>
      </c>
      <c r="R366" s="1">
        <v>15087</v>
      </c>
      <c r="S366" s="1">
        <v>197429</v>
      </c>
      <c r="T366" s="1">
        <v>91264</v>
      </c>
      <c r="U366" s="1">
        <v>69747</v>
      </c>
      <c r="V366" s="1">
        <v>3475</v>
      </c>
      <c r="W366" s="1">
        <v>190528</v>
      </c>
      <c r="X366" s="1">
        <v>102783</v>
      </c>
      <c r="Y366" s="1">
        <v>78444</v>
      </c>
      <c r="Z366" s="1">
        <v>5081</v>
      </c>
      <c r="AA366" s="1">
        <v>181951</v>
      </c>
      <c r="AB366" s="1">
        <v>112692</v>
      </c>
      <c r="AC366" s="1">
        <v>69949</v>
      </c>
      <c r="AD366" s="1">
        <v>11605</v>
      </c>
      <c r="AE366" s="1">
        <v>192768</v>
      </c>
      <c r="AF366" s="1">
        <v>100996</v>
      </c>
      <c r="AG366" s="1">
        <v>86369</v>
      </c>
      <c r="AH366" s="1">
        <v>8354</v>
      </c>
      <c r="AI366">
        <v>-8.9700000000000006</v>
      </c>
      <c r="AJ366">
        <v>43.67</v>
      </c>
      <c r="AK366">
        <v>92.39</v>
      </c>
    </row>
    <row r="367" spans="1:37" x14ac:dyDescent="0.2">
      <c r="A367" t="s">
        <v>598</v>
      </c>
      <c r="B367">
        <v>1179993</v>
      </c>
      <c r="C367" s="1">
        <v>140</v>
      </c>
      <c r="D367" s="1">
        <v>568074</v>
      </c>
      <c r="E367" t="s">
        <v>38</v>
      </c>
      <c r="G367" s="1">
        <v>1118052</v>
      </c>
      <c r="H367" s="1">
        <v>198112</v>
      </c>
      <c r="I367" s="1">
        <v>633833</v>
      </c>
      <c r="J367" s="1">
        <v>-52264</v>
      </c>
      <c r="K367" s="1">
        <v>1114248</v>
      </c>
      <c r="L367" s="1">
        <v>243982</v>
      </c>
      <c r="M367" s="1">
        <v>713816</v>
      </c>
      <c r="N367" s="1">
        <v>7511</v>
      </c>
      <c r="O367" s="1">
        <v>1200727</v>
      </c>
      <c r="P367" s="1">
        <v>221909</v>
      </c>
      <c r="Q367" s="1">
        <v>192646</v>
      </c>
      <c r="R367" s="1">
        <v>652</v>
      </c>
      <c r="S367" s="1">
        <v>1146029</v>
      </c>
      <c r="T367" s="1">
        <v>199692</v>
      </c>
      <c r="U367" s="1">
        <v>178881</v>
      </c>
      <c r="V367" s="1">
        <v>-21</v>
      </c>
      <c r="W367" s="1">
        <v>1140320</v>
      </c>
      <c r="X367" s="1">
        <v>199547</v>
      </c>
      <c r="Y367" s="1">
        <v>193309</v>
      </c>
      <c r="Z367" s="1">
        <v>1269</v>
      </c>
      <c r="AA367" s="1">
        <v>1118052</v>
      </c>
      <c r="AB367" s="1">
        <v>198112</v>
      </c>
      <c r="AC367" s="1">
        <v>147514</v>
      </c>
      <c r="AD367" s="1">
        <v>-14886</v>
      </c>
      <c r="AE367" s="1">
        <v>1113984</v>
      </c>
      <c r="AF367" s="1">
        <v>213210</v>
      </c>
      <c r="AG367" s="1">
        <v>177442</v>
      </c>
      <c r="AH367" s="1">
        <v>-9052</v>
      </c>
      <c r="AI367">
        <v>12.77</v>
      </c>
      <c r="AJ367">
        <v>75.989999999999995</v>
      </c>
      <c r="AK367">
        <v>7.57</v>
      </c>
    </row>
    <row r="368" spans="1:37" x14ac:dyDescent="0.2">
      <c r="A368" t="s">
        <v>599</v>
      </c>
      <c r="B368">
        <v>526012</v>
      </c>
      <c r="C368" s="1">
        <v>573.6</v>
      </c>
      <c r="D368" s="1">
        <v>150116</v>
      </c>
      <c r="E368" t="s">
        <v>600</v>
      </c>
      <c r="G368" s="1">
        <v>514794</v>
      </c>
      <c r="H368" s="1">
        <v>315320</v>
      </c>
      <c r="I368" s="1">
        <v>7894</v>
      </c>
      <c r="J368" s="1">
        <v>44238</v>
      </c>
      <c r="K368" s="1">
        <v>497157</v>
      </c>
      <c r="L368" s="1">
        <v>257402</v>
      </c>
      <c r="M368" s="1">
        <v>8788</v>
      </c>
      <c r="N368" s="1">
        <v>15500</v>
      </c>
      <c r="S368" s="1">
        <v>522219</v>
      </c>
      <c r="T368" s="1">
        <v>288391</v>
      </c>
      <c r="U368" s="1">
        <v>4123</v>
      </c>
      <c r="V368" s="1">
        <v>-10665</v>
      </c>
      <c r="AA368" s="1">
        <v>514794</v>
      </c>
      <c r="AB368" s="1">
        <v>315320</v>
      </c>
      <c r="AC368" s="1">
        <v>4083</v>
      </c>
      <c r="AD368" s="1">
        <v>46664</v>
      </c>
      <c r="AI368">
        <v>-15.27</v>
      </c>
      <c r="AJ368">
        <v>-24.23</v>
      </c>
      <c r="AK368">
        <v>16.920000000000002</v>
      </c>
    </row>
    <row r="369" spans="1:37" x14ac:dyDescent="0.2">
      <c r="A369" t="s">
        <v>601</v>
      </c>
      <c r="B369">
        <v>1103878</v>
      </c>
      <c r="C369" s="1">
        <v>191.9</v>
      </c>
      <c r="D369" s="1">
        <v>157422</v>
      </c>
      <c r="E369" t="s">
        <v>602</v>
      </c>
      <c r="G369" s="1">
        <v>829054.05</v>
      </c>
      <c r="H369" s="1">
        <v>373174.74</v>
      </c>
      <c r="I369" s="1">
        <v>841172.16</v>
      </c>
      <c r="J369" s="1">
        <v>15326.07</v>
      </c>
      <c r="K369" s="1">
        <v>873160.85</v>
      </c>
      <c r="L369" s="1">
        <v>386569.81</v>
      </c>
      <c r="M369" s="1">
        <v>935164.14</v>
      </c>
      <c r="N369" s="1">
        <v>224.65</v>
      </c>
      <c r="O369" s="1">
        <v>805520.8</v>
      </c>
      <c r="P369" s="1">
        <v>376284.32</v>
      </c>
      <c r="Q369" s="1">
        <v>201932.23</v>
      </c>
      <c r="R369" s="1">
        <v>15480.11</v>
      </c>
      <c r="S369" s="1">
        <v>816250.44</v>
      </c>
      <c r="T369" s="1">
        <v>363467.06</v>
      </c>
      <c r="U369" s="1">
        <v>186250.37</v>
      </c>
      <c r="V369" s="1">
        <v>-5786.46</v>
      </c>
      <c r="W369" s="1">
        <v>867632.46</v>
      </c>
      <c r="X369" s="1">
        <v>367621.79</v>
      </c>
      <c r="Y369" s="1">
        <v>212464.92</v>
      </c>
      <c r="Z369" s="1">
        <v>3080.78</v>
      </c>
      <c r="AA369" s="1">
        <v>829054.05</v>
      </c>
      <c r="AB369" s="1">
        <v>373174.74</v>
      </c>
      <c r="AC369" s="1">
        <v>205138.48</v>
      </c>
      <c r="AD369" s="1">
        <v>8891.17</v>
      </c>
      <c r="AE369" s="1">
        <v>872190.86</v>
      </c>
      <c r="AF369" s="1">
        <v>378242.12</v>
      </c>
      <c r="AG369" s="1">
        <v>238256.41</v>
      </c>
      <c r="AH369" s="1">
        <v>2985.58</v>
      </c>
      <c r="AI369">
        <v>-10.210000000000001</v>
      </c>
      <c r="AJ369">
        <v>-4.62</v>
      </c>
      <c r="AK369">
        <v>-32.78</v>
      </c>
    </row>
    <row r="370" spans="1:37" x14ac:dyDescent="0.2">
      <c r="A370" t="s">
        <v>603</v>
      </c>
      <c r="B370">
        <v>1226885</v>
      </c>
      <c r="C370" s="1">
        <v>78</v>
      </c>
      <c r="D370" s="1">
        <v>225430</v>
      </c>
      <c r="E370" t="s">
        <v>38</v>
      </c>
      <c r="G370" s="1">
        <v>110180</v>
      </c>
      <c r="H370" s="1">
        <v>69759</v>
      </c>
      <c r="J370" s="1">
        <v>-69968</v>
      </c>
      <c r="K370" s="1">
        <v>178826</v>
      </c>
      <c r="L370" s="1">
        <v>51438</v>
      </c>
      <c r="M370" s="1">
        <v>348144</v>
      </c>
      <c r="N370" s="1">
        <v>11238</v>
      </c>
      <c r="O370" s="1">
        <v>304729</v>
      </c>
      <c r="P370" s="1">
        <v>98111</v>
      </c>
      <c r="Q370" s="1">
        <v>104450</v>
      </c>
      <c r="R370" s="1">
        <v>5040</v>
      </c>
      <c r="S370" s="1">
        <v>228909</v>
      </c>
      <c r="T370" s="1">
        <v>53769</v>
      </c>
      <c r="U370" s="1">
        <v>100994</v>
      </c>
      <c r="V370" s="1">
        <v>4523</v>
      </c>
      <c r="AA370" s="1">
        <v>110180</v>
      </c>
      <c r="AB370" s="1">
        <v>69759</v>
      </c>
      <c r="AD370" s="1">
        <v>-23871</v>
      </c>
      <c r="AE370" s="1">
        <v>487820</v>
      </c>
      <c r="AF370" s="1">
        <v>85351</v>
      </c>
      <c r="AH370" s="1">
        <v>-49039</v>
      </c>
      <c r="AI370">
        <v>-4.2300000000000004</v>
      </c>
      <c r="AJ370">
        <v>0</v>
      </c>
      <c r="AK370">
        <v>0</v>
      </c>
    </row>
    <row r="371" spans="1:37" x14ac:dyDescent="0.2">
      <c r="A371" t="s">
        <v>604</v>
      </c>
      <c r="B371">
        <v>266015</v>
      </c>
      <c r="C371" s="1">
        <v>69.099999999999994</v>
      </c>
      <c r="D371" s="1">
        <v>40960</v>
      </c>
      <c r="E371" t="s">
        <v>38</v>
      </c>
      <c r="G371" s="1">
        <v>61714.54</v>
      </c>
      <c r="H371" s="1">
        <v>15889.98</v>
      </c>
      <c r="I371" s="1">
        <v>32155.599999999999</v>
      </c>
      <c r="J371" s="1">
        <v>-23063.63</v>
      </c>
      <c r="K371" s="1">
        <v>78829.22</v>
      </c>
      <c r="L371" s="1">
        <v>33839.910000000003</v>
      </c>
      <c r="M371" s="1">
        <v>47241.68</v>
      </c>
      <c r="N371" s="1">
        <v>-9589.7900000000009</v>
      </c>
      <c r="S371" s="1">
        <v>58001.77</v>
      </c>
      <c r="T371" s="1">
        <v>9741.7099999999991</v>
      </c>
      <c r="U371" s="1">
        <v>14000.54</v>
      </c>
      <c r="V371" s="1">
        <v>-5115.32</v>
      </c>
      <c r="AA371" s="1">
        <v>61714.54</v>
      </c>
      <c r="AB371" s="1">
        <v>15889.98</v>
      </c>
      <c r="AC371" s="1">
        <v>17202.900000000001</v>
      </c>
      <c r="AD371" s="1">
        <v>-12647.8</v>
      </c>
      <c r="AI371">
        <v>-30.52</v>
      </c>
      <c r="AJ371">
        <v>-47.97</v>
      </c>
      <c r="AK371">
        <v>-46.19</v>
      </c>
    </row>
    <row r="372" spans="1:37" x14ac:dyDescent="0.2">
      <c r="A372" t="s">
        <v>605</v>
      </c>
      <c r="B372">
        <v>539015</v>
      </c>
      <c r="C372" s="1">
        <v>8878</v>
      </c>
      <c r="D372" s="1">
        <v>1505807</v>
      </c>
      <c r="E372" t="s">
        <v>606</v>
      </c>
      <c r="G372" s="1">
        <v>2473962</v>
      </c>
      <c r="H372" s="1">
        <v>571173</v>
      </c>
      <c r="I372" s="1">
        <v>779741</v>
      </c>
      <c r="J372" s="1">
        <v>100746</v>
      </c>
      <c r="K372" s="1">
        <v>2126560</v>
      </c>
      <c r="L372" s="1">
        <v>468775</v>
      </c>
      <c r="M372" s="1">
        <v>702592</v>
      </c>
      <c r="N372" s="1">
        <v>73913</v>
      </c>
      <c r="O372" s="1">
        <v>2387636</v>
      </c>
      <c r="P372" s="1">
        <v>797007</v>
      </c>
      <c r="Q372" s="1">
        <v>386252</v>
      </c>
      <c r="R372" s="1">
        <v>205179</v>
      </c>
      <c r="S372" s="1">
        <v>2294735</v>
      </c>
      <c r="T372" s="1">
        <v>674722</v>
      </c>
      <c r="U372" s="1">
        <v>120443</v>
      </c>
      <c r="V372" s="1">
        <v>59619</v>
      </c>
      <c r="W372" s="1">
        <v>2530925</v>
      </c>
      <c r="X372" s="1">
        <v>625008</v>
      </c>
      <c r="Y372" s="1">
        <v>197772</v>
      </c>
      <c r="Z372" s="1">
        <v>23356</v>
      </c>
      <c r="AA372" s="1">
        <v>2473962</v>
      </c>
      <c r="AB372" s="1">
        <v>571173</v>
      </c>
      <c r="AC372" s="1">
        <v>274469</v>
      </c>
      <c r="AD372" s="1">
        <v>41569</v>
      </c>
      <c r="AE372" s="1">
        <v>2313964</v>
      </c>
      <c r="AF372" s="1">
        <v>539493</v>
      </c>
      <c r="AG372" s="1">
        <v>182322</v>
      </c>
      <c r="AH372" s="1">
        <v>18315</v>
      </c>
      <c r="AI372">
        <v>-0.03</v>
      </c>
      <c r="AJ372">
        <v>51.42</v>
      </c>
      <c r="AK372">
        <v>154.85</v>
      </c>
    </row>
    <row r="373" spans="1:37" x14ac:dyDescent="0.2">
      <c r="A373" t="s">
        <v>607</v>
      </c>
      <c r="B373">
        <v>1147750</v>
      </c>
      <c r="C373" s="1">
        <v>80</v>
      </c>
      <c r="D373" s="1">
        <v>10567</v>
      </c>
      <c r="E373" t="s">
        <v>38</v>
      </c>
      <c r="G373" s="1">
        <v>34580.85</v>
      </c>
      <c r="H373" s="1">
        <v>29865.279999999999</v>
      </c>
      <c r="J373" s="1">
        <v>-4266.99</v>
      </c>
      <c r="K373" s="1">
        <v>31808.79</v>
      </c>
      <c r="L373" s="1">
        <v>26926.85</v>
      </c>
      <c r="N373" s="1">
        <v>-3590.73</v>
      </c>
      <c r="S373" s="1">
        <v>33672.79</v>
      </c>
      <c r="T373" s="1">
        <v>28901.41</v>
      </c>
      <c r="V373" s="1">
        <v>-2768.41</v>
      </c>
      <c r="AA373" s="1">
        <v>34580.85</v>
      </c>
      <c r="AB373" s="1">
        <v>29865.279999999999</v>
      </c>
      <c r="AD373" s="1">
        <v>-2520.08</v>
      </c>
      <c r="AI373">
        <v>-40.11</v>
      </c>
      <c r="AJ373">
        <v>-68.52</v>
      </c>
      <c r="AK373">
        <v>-65.73</v>
      </c>
    </row>
    <row r="374" spans="1:37" x14ac:dyDescent="0.2">
      <c r="A374" t="s">
        <v>608</v>
      </c>
      <c r="B374">
        <v>1171529</v>
      </c>
      <c r="C374" s="1">
        <v>3603</v>
      </c>
      <c r="D374" s="1">
        <v>548076</v>
      </c>
      <c r="E374" t="s">
        <v>609</v>
      </c>
      <c r="G374" s="1">
        <v>817843</v>
      </c>
      <c r="H374" s="1">
        <v>255733</v>
      </c>
      <c r="I374" s="1">
        <v>417901</v>
      </c>
      <c r="J374" s="1">
        <v>61970</v>
      </c>
      <c r="K374" s="1">
        <v>628567</v>
      </c>
      <c r="L374" s="1">
        <v>202883</v>
      </c>
      <c r="M374" s="1">
        <v>280838</v>
      </c>
      <c r="N374" s="1">
        <v>58690</v>
      </c>
      <c r="O374" s="1">
        <v>1001653</v>
      </c>
      <c r="P374" s="1">
        <v>311743</v>
      </c>
      <c r="Q374" s="1">
        <v>75312</v>
      </c>
      <c r="R374" s="1">
        <v>8454</v>
      </c>
      <c r="S374" s="1">
        <v>1051186</v>
      </c>
      <c r="T374" s="1">
        <v>302502</v>
      </c>
      <c r="U374" s="1">
        <v>71100</v>
      </c>
      <c r="V374" s="1">
        <v>11285</v>
      </c>
      <c r="W374" s="1">
        <v>986819</v>
      </c>
      <c r="X374" s="1">
        <v>306013</v>
      </c>
      <c r="Y374" s="1">
        <v>87937</v>
      </c>
      <c r="Z374" s="1">
        <v>49967</v>
      </c>
      <c r="AA374" s="1">
        <v>817843</v>
      </c>
      <c r="AB374" s="1">
        <v>255733</v>
      </c>
      <c r="AC374" s="1">
        <v>83574</v>
      </c>
      <c r="AD374" s="1">
        <v>12056</v>
      </c>
      <c r="AE374" s="1">
        <v>769024</v>
      </c>
      <c r="AF374" s="1">
        <v>243105</v>
      </c>
      <c r="AG374" s="1">
        <v>92024</v>
      </c>
      <c r="AH374" s="1">
        <v>11321</v>
      </c>
      <c r="AI374">
        <v>14.64</v>
      </c>
      <c r="AJ374">
        <v>11.97</v>
      </c>
      <c r="AK374">
        <v>197.16</v>
      </c>
    </row>
    <row r="375" spans="1:37" x14ac:dyDescent="0.2">
      <c r="A375" t="s">
        <v>610</v>
      </c>
      <c r="B375">
        <v>1162775</v>
      </c>
      <c r="C375" s="1">
        <v>583.79999999999995</v>
      </c>
      <c r="D375" s="1">
        <v>572252</v>
      </c>
      <c r="E375" t="s">
        <v>38</v>
      </c>
      <c r="G375" s="1">
        <v>3456858</v>
      </c>
      <c r="H375" s="1">
        <v>1070509</v>
      </c>
      <c r="I375" s="1">
        <v>60642</v>
      </c>
      <c r="J375" s="1">
        <v>-37658</v>
      </c>
      <c r="K375" s="1">
        <v>3241120</v>
      </c>
      <c r="L375" s="1">
        <v>1037091</v>
      </c>
      <c r="M375" s="1">
        <v>58099</v>
      </c>
      <c r="N375" s="1">
        <v>-75157</v>
      </c>
      <c r="O375" s="1">
        <v>3460187</v>
      </c>
      <c r="P375" s="1">
        <v>1046425</v>
      </c>
      <c r="Q375" s="1">
        <v>50485</v>
      </c>
      <c r="R375" s="1">
        <v>-24942</v>
      </c>
      <c r="S375" s="1">
        <v>3536158</v>
      </c>
      <c r="T375" s="1">
        <v>1058131</v>
      </c>
      <c r="U375" s="1">
        <v>16914</v>
      </c>
      <c r="V375" s="1">
        <v>5696</v>
      </c>
      <c r="W375" s="1">
        <v>3530790</v>
      </c>
      <c r="X375" s="1">
        <v>1052357</v>
      </c>
      <c r="Y375" s="1">
        <v>16411</v>
      </c>
      <c r="Z375" s="1">
        <v>-18522</v>
      </c>
      <c r="AA375" s="1">
        <v>3456858</v>
      </c>
      <c r="AB375" s="1">
        <v>1070509</v>
      </c>
      <c r="AC375" s="1">
        <v>15517</v>
      </c>
      <c r="AD375" s="1">
        <v>-29017</v>
      </c>
      <c r="AE375" s="1">
        <v>3341606</v>
      </c>
      <c r="AF375" s="1">
        <v>1029583</v>
      </c>
      <c r="AG375" s="1">
        <v>15175</v>
      </c>
      <c r="AH375" s="1">
        <v>-22400</v>
      </c>
      <c r="AI375">
        <v>0.21</v>
      </c>
      <c r="AJ375">
        <v>29.28</v>
      </c>
      <c r="AK375">
        <v>-40.78</v>
      </c>
    </row>
    <row r="376" spans="1:37" x14ac:dyDescent="0.2">
      <c r="A376" t="s">
        <v>611</v>
      </c>
      <c r="B376">
        <v>1173723</v>
      </c>
      <c r="C376" s="1">
        <v>27.9</v>
      </c>
      <c r="D376" s="1">
        <v>12653</v>
      </c>
      <c r="E376" t="s">
        <v>612</v>
      </c>
      <c r="G376" s="1">
        <v>26615</v>
      </c>
      <c r="H376" s="1">
        <v>26378</v>
      </c>
      <c r="I376" s="1">
        <v>717</v>
      </c>
      <c r="J376" s="1">
        <v>-7759</v>
      </c>
      <c r="K376" s="1">
        <v>55415</v>
      </c>
      <c r="L376" s="1">
        <v>54071</v>
      </c>
      <c r="M376" s="1">
        <v>600</v>
      </c>
      <c r="N376" s="1">
        <v>-48</v>
      </c>
      <c r="S376" s="1">
        <v>5704</v>
      </c>
      <c r="T376" s="1">
        <v>5519</v>
      </c>
      <c r="V376" s="1">
        <v>-867</v>
      </c>
      <c r="AA376" s="1">
        <v>26615</v>
      </c>
      <c r="AB376" s="1">
        <v>26378</v>
      </c>
      <c r="AC376" s="1">
        <v>12</v>
      </c>
      <c r="AD376" s="1">
        <v>-7609</v>
      </c>
      <c r="AI376">
        <v>55</v>
      </c>
      <c r="AJ376">
        <v>71.150000000000006</v>
      </c>
      <c r="AK376">
        <v>-3.92</v>
      </c>
    </row>
    <row r="377" spans="1:37" x14ac:dyDescent="0.2">
      <c r="A377" t="s">
        <v>613</v>
      </c>
      <c r="B377">
        <v>673012</v>
      </c>
      <c r="C377" s="1">
        <v>87.4</v>
      </c>
      <c r="D377" s="1">
        <v>73110</v>
      </c>
      <c r="E377" t="s">
        <v>38</v>
      </c>
      <c r="G377" s="1">
        <v>82902</v>
      </c>
      <c r="H377" s="1">
        <v>-7755</v>
      </c>
      <c r="I377" s="1">
        <v>19044</v>
      </c>
      <c r="J377" s="1">
        <v>-8177</v>
      </c>
      <c r="K377" s="1">
        <v>91323</v>
      </c>
      <c r="L377" s="1">
        <v>-1627</v>
      </c>
      <c r="M377" s="1">
        <v>262</v>
      </c>
      <c r="N377" s="1">
        <v>-12439</v>
      </c>
      <c r="S377" s="1">
        <v>92755</v>
      </c>
      <c r="T377" s="1">
        <v>-2438</v>
      </c>
      <c r="U377" s="1">
        <v>120</v>
      </c>
      <c r="V377" s="1">
        <v>-3516</v>
      </c>
      <c r="AA377" s="1">
        <v>82902</v>
      </c>
      <c r="AB377" s="1">
        <v>-7755</v>
      </c>
      <c r="AC377" s="1">
        <v>18924</v>
      </c>
      <c r="AD377" s="1">
        <v>-4820</v>
      </c>
      <c r="AI377">
        <v>21.76</v>
      </c>
      <c r="AJ377">
        <v>18.920000000000002</v>
      </c>
      <c r="AK377">
        <v>-80.91</v>
      </c>
    </row>
    <row r="378" spans="1:37" x14ac:dyDescent="0.2">
      <c r="A378" t="s">
        <v>614</v>
      </c>
      <c r="B378">
        <v>1172527</v>
      </c>
      <c r="C378" s="1">
        <v>354.9</v>
      </c>
      <c r="D378" s="1">
        <v>139690</v>
      </c>
      <c r="E378" t="s">
        <v>38</v>
      </c>
      <c r="G378" s="1">
        <v>79932</v>
      </c>
      <c r="H378" s="1">
        <v>11143</v>
      </c>
      <c r="I378" s="1">
        <v>17219</v>
      </c>
      <c r="J378" s="1">
        <v>-15480</v>
      </c>
      <c r="K378" s="1">
        <v>82822</v>
      </c>
      <c r="L378" s="1">
        <v>25565</v>
      </c>
      <c r="M378" s="1">
        <v>5288</v>
      </c>
      <c r="N378" s="1">
        <v>-18329</v>
      </c>
      <c r="S378" s="1">
        <v>55601</v>
      </c>
      <c r="T378" s="1">
        <v>3140</v>
      </c>
      <c r="U378" s="1">
        <v>15665</v>
      </c>
      <c r="V378" s="1">
        <v>-8535</v>
      </c>
      <c r="AA378" s="1">
        <v>79932</v>
      </c>
      <c r="AB378" s="1">
        <v>11143</v>
      </c>
      <c r="AC378" s="1">
        <v>12205</v>
      </c>
      <c r="AD378" s="1">
        <v>-8061</v>
      </c>
      <c r="AI378">
        <v>-22.31</v>
      </c>
      <c r="AJ378">
        <v>-28.12</v>
      </c>
      <c r="AK378">
        <v>442.34</v>
      </c>
    </row>
    <row r="379" spans="1:37" x14ac:dyDescent="0.2">
      <c r="A379" t="s">
        <v>615</v>
      </c>
      <c r="B379">
        <v>1080456</v>
      </c>
      <c r="C379" s="1">
        <v>4790</v>
      </c>
      <c r="D379" s="1">
        <v>402542</v>
      </c>
      <c r="E379" t="s">
        <v>270</v>
      </c>
      <c r="G379" s="1">
        <v>226720</v>
      </c>
      <c r="H379" s="1">
        <v>181218</v>
      </c>
      <c r="I379" s="1">
        <v>182974</v>
      </c>
      <c r="J379" s="1">
        <v>41271</v>
      </c>
      <c r="K379" s="1">
        <v>222206</v>
      </c>
      <c r="L379" s="1">
        <v>180676</v>
      </c>
      <c r="M379" s="1">
        <v>213114</v>
      </c>
      <c r="N379" s="1">
        <v>41911</v>
      </c>
      <c r="O379" s="1">
        <v>219451</v>
      </c>
      <c r="P379" s="1">
        <v>175386</v>
      </c>
      <c r="Q379" s="1">
        <v>47528</v>
      </c>
      <c r="R379" s="1">
        <v>8384</v>
      </c>
      <c r="S379" s="1">
        <v>228073</v>
      </c>
      <c r="T379" s="1">
        <v>182338</v>
      </c>
      <c r="U379" s="1">
        <v>46218</v>
      </c>
      <c r="V379" s="1">
        <v>10033</v>
      </c>
      <c r="W379" s="1">
        <v>239873</v>
      </c>
      <c r="X379" s="1">
        <v>183432</v>
      </c>
      <c r="Y379" s="1">
        <v>46572</v>
      </c>
      <c r="Z379" s="1">
        <v>10924</v>
      </c>
      <c r="AA379" s="1">
        <v>226720</v>
      </c>
      <c r="AB379" s="1">
        <v>181218</v>
      </c>
      <c r="AC379" s="1">
        <v>40270</v>
      </c>
      <c r="AD379" s="1">
        <v>8373</v>
      </c>
      <c r="AE379" s="1">
        <v>232722</v>
      </c>
      <c r="AF379" s="1">
        <v>183283</v>
      </c>
      <c r="AG379" s="1">
        <v>46761</v>
      </c>
      <c r="AH379" s="1">
        <v>9675</v>
      </c>
      <c r="AI379">
        <v>-2.2599999999999998</v>
      </c>
      <c r="AJ379">
        <v>10.54</v>
      </c>
      <c r="AK379">
        <v>-19.82</v>
      </c>
    </row>
    <row r="380" spans="1:37" x14ac:dyDescent="0.2">
      <c r="A380" t="s">
        <v>616</v>
      </c>
      <c r="B380">
        <v>1090943</v>
      </c>
      <c r="C380" s="1">
        <v>1350</v>
      </c>
      <c r="D380" s="1">
        <v>225920</v>
      </c>
      <c r="E380" t="s">
        <v>617</v>
      </c>
      <c r="G380" s="1">
        <v>257364</v>
      </c>
      <c r="H380" s="1">
        <v>228738</v>
      </c>
      <c r="I380" s="1">
        <v>3660</v>
      </c>
      <c r="J380" s="1">
        <v>17288</v>
      </c>
      <c r="K380" s="1">
        <v>259961</v>
      </c>
      <c r="L380" s="1">
        <v>220231</v>
      </c>
      <c r="M380" s="1">
        <v>3500</v>
      </c>
      <c r="N380" s="1">
        <v>4823</v>
      </c>
      <c r="S380" s="1">
        <v>259179</v>
      </c>
      <c r="T380" s="1">
        <v>231879</v>
      </c>
      <c r="U380" s="1">
        <v>878</v>
      </c>
      <c r="V380" s="1">
        <v>1140</v>
      </c>
      <c r="W380" s="1">
        <v>263110</v>
      </c>
      <c r="X380" s="1">
        <v>235615</v>
      </c>
      <c r="Y380" s="1">
        <v>941</v>
      </c>
      <c r="Z380" s="1">
        <v>5683</v>
      </c>
      <c r="AA380" s="1">
        <v>257364</v>
      </c>
      <c r="AB380" s="1">
        <v>228738</v>
      </c>
      <c r="AC380" s="1">
        <v>900</v>
      </c>
      <c r="AD380" s="1">
        <v>2928</v>
      </c>
      <c r="AE380" s="1">
        <v>258544</v>
      </c>
      <c r="AF380" s="1">
        <v>230312</v>
      </c>
      <c r="AG380" s="1">
        <v>912</v>
      </c>
      <c r="AH380" s="1">
        <v>6562</v>
      </c>
      <c r="AI380">
        <v>-3.74</v>
      </c>
      <c r="AJ380">
        <v>-3.99</v>
      </c>
      <c r="AK380">
        <v>7.82</v>
      </c>
    </row>
    <row r="381" spans="1:37" x14ac:dyDescent="0.2">
      <c r="A381" t="s">
        <v>618</v>
      </c>
      <c r="B381">
        <v>1199645</v>
      </c>
      <c r="C381" s="1">
        <v>1064</v>
      </c>
      <c r="D381" s="1">
        <v>315779</v>
      </c>
      <c r="E381" t="s">
        <v>619</v>
      </c>
      <c r="G381" s="1">
        <v>821805</v>
      </c>
      <c r="H381" s="1">
        <v>340751</v>
      </c>
      <c r="I381" s="1">
        <v>14838</v>
      </c>
      <c r="J381" s="1">
        <v>30176</v>
      </c>
      <c r="K381" s="1">
        <v>434464</v>
      </c>
      <c r="L381" s="1">
        <v>218137</v>
      </c>
      <c r="M381" s="1">
        <v>1905</v>
      </c>
      <c r="N381" s="1">
        <v>10396</v>
      </c>
      <c r="S381" s="1">
        <v>802470</v>
      </c>
      <c r="T381" s="1">
        <v>332030</v>
      </c>
      <c r="U381" s="1">
        <v>5663</v>
      </c>
      <c r="V381" s="1">
        <v>-6200</v>
      </c>
      <c r="W381" s="1">
        <v>823489</v>
      </c>
      <c r="X381" s="1">
        <v>338230</v>
      </c>
      <c r="Y381" s="1">
        <v>5428</v>
      </c>
      <c r="Z381" s="1">
        <v>-2521</v>
      </c>
      <c r="AA381" s="1">
        <v>821805</v>
      </c>
      <c r="AB381" s="1">
        <v>340751</v>
      </c>
      <c r="AC381" s="1">
        <v>5476</v>
      </c>
      <c r="AD381" s="1">
        <v>30712</v>
      </c>
      <c r="AE381" s="1">
        <v>730644</v>
      </c>
      <c r="AF381" s="1">
        <v>289886</v>
      </c>
      <c r="AG381" s="1">
        <v>4946</v>
      </c>
      <c r="AH381" s="1">
        <v>-10034</v>
      </c>
      <c r="AI381">
        <v>16.43</v>
      </c>
      <c r="AJ381">
        <v>0</v>
      </c>
      <c r="AK381">
        <v>0</v>
      </c>
    </row>
    <row r="382" spans="1:37" x14ac:dyDescent="0.2">
      <c r="A382" t="s">
        <v>620</v>
      </c>
      <c r="B382">
        <v>1143619</v>
      </c>
      <c r="C382" s="1">
        <v>540.9</v>
      </c>
      <c r="D382" s="1">
        <v>948816</v>
      </c>
      <c r="E382" t="s">
        <v>338</v>
      </c>
      <c r="G382" s="1">
        <v>3031065</v>
      </c>
      <c r="H382" s="1">
        <v>798409</v>
      </c>
      <c r="I382" s="1">
        <v>182459</v>
      </c>
      <c r="J382" s="1">
        <v>64000</v>
      </c>
      <c r="K382" s="1">
        <v>2868985</v>
      </c>
      <c r="L382" s="1">
        <v>730612</v>
      </c>
      <c r="M382" s="1">
        <v>113406</v>
      </c>
      <c r="N382" s="1">
        <v>86970</v>
      </c>
      <c r="O382" s="1">
        <v>3267431</v>
      </c>
      <c r="P382" s="1">
        <v>930568</v>
      </c>
      <c r="Q382" s="1">
        <v>43618</v>
      </c>
      <c r="R382" s="1">
        <v>9144</v>
      </c>
      <c r="S382" s="1">
        <v>3221543</v>
      </c>
      <c r="T382" s="1">
        <v>920875</v>
      </c>
      <c r="U382" s="1">
        <v>37832</v>
      </c>
      <c r="V382" s="1">
        <v>28912</v>
      </c>
      <c r="W382" s="1">
        <v>3596186</v>
      </c>
      <c r="X382" s="1">
        <v>891340</v>
      </c>
      <c r="Y382" s="1">
        <v>56341</v>
      </c>
      <c r="Z382" s="1">
        <v>-11706</v>
      </c>
      <c r="AA382" s="1">
        <v>3031065</v>
      </c>
      <c r="AB382" s="1">
        <v>798409</v>
      </c>
      <c r="AC382" s="1">
        <v>34819</v>
      </c>
      <c r="AD382" s="1">
        <v>10791</v>
      </c>
      <c r="AE382" s="1">
        <v>3125630</v>
      </c>
      <c r="AF382" s="1">
        <v>786766</v>
      </c>
      <c r="AG382" s="1">
        <v>69634</v>
      </c>
      <c r="AH382" s="1">
        <v>73850</v>
      </c>
      <c r="AI382">
        <v>14.32</v>
      </c>
      <c r="AJ382">
        <v>78.930000000000007</v>
      </c>
      <c r="AK382">
        <v>24.41</v>
      </c>
    </row>
    <row r="383" spans="1:37" x14ac:dyDescent="0.2">
      <c r="A383" t="s">
        <v>621</v>
      </c>
      <c r="B383">
        <v>769026</v>
      </c>
      <c r="C383" s="1">
        <v>5907</v>
      </c>
      <c r="D383" s="1">
        <v>905672</v>
      </c>
      <c r="E383" t="s">
        <v>622</v>
      </c>
      <c r="G383" s="1">
        <v>1150565</v>
      </c>
      <c r="H383" s="1">
        <v>563504</v>
      </c>
      <c r="I383" s="1">
        <v>753979</v>
      </c>
      <c r="J383" s="1">
        <v>202693</v>
      </c>
      <c r="K383" s="1">
        <v>3188481</v>
      </c>
      <c r="L383" s="1">
        <v>410481</v>
      </c>
      <c r="M383" s="1">
        <v>580221</v>
      </c>
      <c r="N383" s="1">
        <v>50034</v>
      </c>
      <c r="O383" s="1">
        <v>1628667</v>
      </c>
      <c r="P383" s="1">
        <v>559717</v>
      </c>
      <c r="Q383" s="1">
        <v>202641</v>
      </c>
      <c r="R383" s="1">
        <v>-8670</v>
      </c>
      <c r="S383" s="1">
        <v>1577557</v>
      </c>
      <c r="T383" s="1">
        <v>568494</v>
      </c>
      <c r="U383" s="1">
        <v>187218</v>
      </c>
      <c r="V383" s="1">
        <v>-8377</v>
      </c>
      <c r="W383" s="1">
        <v>1500345</v>
      </c>
      <c r="X383" s="1">
        <v>577025</v>
      </c>
      <c r="Y383" s="1">
        <v>181005</v>
      </c>
      <c r="Z383" s="1">
        <v>12910</v>
      </c>
      <c r="AA383" s="1">
        <v>1150565</v>
      </c>
      <c r="AB383" s="1">
        <v>563504</v>
      </c>
      <c r="AC383" s="1">
        <v>207351</v>
      </c>
      <c r="AD383" s="1">
        <v>8167</v>
      </c>
      <c r="AE383" s="1">
        <v>1064475</v>
      </c>
      <c r="AF383" s="1">
        <v>555428</v>
      </c>
      <c r="AG383" s="1">
        <v>200513</v>
      </c>
      <c r="AH383" s="1">
        <v>20215</v>
      </c>
      <c r="AI383">
        <v>10.210000000000001</v>
      </c>
      <c r="AJ383">
        <v>130.52000000000001</v>
      </c>
      <c r="AK383">
        <v>88.17</v>
      </c>
    </row>
    <row r="384" spans="1:37" x14ac:dyDescent="0.2">
      <c r="A384" t="s">
        <v>623</v>
      </c>
      <c r="B384">
        <v>1139864</v>
      </c>
      <c r="C384" s="1">
        <v>28.2</v>
      </c>
      <c r="D384" s="1">
        <v>63400</v>
      </c>
      <c r="E384" t="s">
        <v>38</v>
      </c>
      <c r="G384" s="1">
        <v>19259.810000000001</v>
      </c>
      <c r="H384" s="1">
        <v>14770.35</v>
      </c>
      <c r="J384" s="1">
        <v>-15244.46</v>
      </c>
      <c r="K384" s="1">
        <v>33607.78</v>
      </c>
      <c r="L384" s="1">
        <v>29850.21</v>
      </c>
      <c r="N384" s="1">
        <v>-106996.5</v>
      </c>
      <c r="S384" s="1">
        <v>17251.150000000001</v>
      </c>
      <c r="T384" s="1">
        <v>12102.11</v>
      </c>
      <c r="V384" s="1">
        <v>-1554.49</v>
      </c>
      <c r="AA384" s="1">
        <v>19259.810000000001</v>
      </c>
      <c r="AB384" s="1">
        <v>14770.35</v>
      </c>
      <c r="AD384" s="1">
        <v>-2913.95</v>
      </c>
      <c r="AI384">
        <v>5.77</v>
      </c>
      <c r="AJ384">
        <v>-18.88</v>
      </c>
      <c r="AK384">
        <v>-15.12</v>
      </c>
    </row>
    <row r="385" spans="1:37" x14ac:dyDescent="0.2">
      <c r="A385" t="s">
        <v>624</v>
      </c>
      <c r="B385">
        <v>1081009</v>
      </c>
      <c r="C385" s="1">
        <v>1130</v>
      </c>
      <c r="D385" s="1">
        <v>130220</v>
      </c>
      <c r="E385" t="s">
        <v>38</v>
      </c>
      <c r="G385" s="1">
        <v>443763</v>
      </c>
      <c r="H385" s="1">
        <v>161928</v>
      </c>
      <c r="I385" s="1">
        <v>321712</v>
      </c>
      <c r="J385" s="1">
        <v>6206</v>
      </c>
      <c r="K385" s="1">
        <v>484721</v>
      </c>
      <c r="L385" s="1">
        <v>155537</v>
      </c>
      <c r="M385" s="1">
        <v>321663</v>
      </c>
      <c r="N385" s="1">
        <v>-6910</v>
      </c>
      <c r="S385" s="1">
        <v>422356</v>
      </c>
      <c r="T385" s="1">
        <v>155525</v>
      </c>
      <c r="U385" s="1">
        <v>72864</v>
      </c>
      <c r="V385" s="1">
        <v>-4051</v>
      </c>
      <c r="W385" s="1">
        <v>436572</v>
      </c>
      <c r="X385" s="1">
        <v>159567</v>
      </c>
      <c r="Y385" s="1">
        <v>76147</v>
      </c>
      <c r="Z385" s="1">
        <v>-2410</v>
      </c>
      <c r="AA385" s="1">
        <v>443763</v>
      </c>
      <c r="AB385" s="1">
        <v>161928</v>
      </c>
      <c r="AC385" s="1">
        <v>76160</v>
      </c>
      <c r="AD385" s="1">
        <v>-2320</v>
      </c>
      <c r="AE385" s="1">
        <v>454357</v>
      </c>
      <c r="AF385" s="1">
        <v>164326</v>
      </c>
      <c r="AG385" s="1">
        <v>87190</v>
      </c>
      <c r="AH385" s="1">
        <v>-4673</v>
      </c>
      <c r="AI385">
        <v>-3.1</v>
      </c>
      <c r="AJ385">
        <v>-21.49</v>
      </c>
      <c r="AK385">
        <v>-30.3</v>
      </c>
    </row>
    <row r="386" spans="1:37" x14ac:dyDescent="0.2">
      <c r="A386" t="s">
        <v>625</v>
      </c>
      <c r="B386">
        <v>1138379</v>
      </c>
      <c r="C386" s="1">
        <v>1974</v>
      </c>
      <c r="D386" s="1">
        <v>205267</v>
      </c>
      <c r="E386" t="s">
        <v>626</v>
      </c>
      <c r="G386" s="1">
        <v>485559</v>
      </c>
      <c r="H386" s="1">
        <v>164779</v>
      </c>
      <c r="I386" s="1">
        <v>366625</v>
      </c>
      <c r="J386" s="1">
        <v>13973</v>
      </c>
      <c r="K386" s="1">
        <v>483954</v>
      </c>
      <c r="L386" s="1">
        <v>150107</v>
      </c>
      <c r="M386" s="1">
        <v>329015</v>
      </c>
      <c r="N386" s="1">
        <v>8466</v>
      </c>
      <c r="O386" s="1">
        <v>525180</v>
      </c>
      <c r="P386" s="1">
        <v>173614</v>
      </c>
      <c r="Q386" s="1">
        <v>120214</v>
      </c>
      <c r="R386" s="1">
        <v>5501</v>
      </c>
      <c r="S386" s="1">
        <v>516096</v>
      </c>
      <c r="T386" s="1">
        <v>168975</v>
      </c>
      <c r="U386" s="1">
        <v>102997</v>
      </c>
      <c r="V386" s="1">
        <v>3410</v>
      </c>
      <c r="W386" s="1">
        <v>509884</v>
      </c>
      <c r="X386" s="1">
        <v>165267</v>
      </c>
      <c r="Y386" s="1">
        <v>103885</v>
      </c>
      <c r="Z386" s="1">
        <v>4310</v>
      </c>
      <c r="AA386" s="1">
        <v>485559</v>
      </c>
      <c r="AB386" s="1">
        <v>164779</v>
      </c>
      <c r="AC386" s="1">
        <v>96588</v>
      </c>
      <c r="AD386" s="1">
        <v>3409</v>
      </c>
      <c r="AE386" s="1">
        <v>490247</v>
      </c>
      <c r="AF386" s="1">
        <v>160978</v>
      </c>
      <c r="AG386" s="1">
        <v>95352</v>
      </c>
      <c r="AH386" s="1">
        <v>4370</v>
      </c>
      <c r="AI386">
        <v>-13.46</v>
      </c>
      <c r="AJ386">
        <v>71.92</v>
      </c>
      <c r="AK386">
        <v>27.38</v>
      </c>
    </row>
    <row r="387" spans="1:37" x14ac:dyDescent="0.2">
      <c r="A387" t="s">
        <v>627</v>
      </c>
      <c r="B387">
        <v>341016</v>
      </c>
      <c r="C387" s="1">
        <v>549.29999999999995</v>
      </c>
      <c r="D387" s="1">
        <v>159413</v>
      </c>
      <c r="E387" t="s">
        <v>38</v>
      </c>
      <c r="G387" s="1">
        <v>51050.71</v>
      </c>
      <c r="H387" s="1">
        <v>412.11</v>
      </c>
      <c r="I387" s="1">
        <v>17261.25</v>
      </c>
      <c r="J387" s="1">
        <v>-3771</v>
      </c>
      <c r="K387" s="1">
        <v>35736.83</v>
      </c>
      <c r="L387" s="1">
        <v>-2016.61</v>
      </c>
      <c r="M387" s="1">
        <v>17931.89</v>
      </c>
      <c r="N387" s="1">
        <v>-15980.56</v>
      </c>
      <c r="S387" s="1">
        <v>172319.31</v>
      </c>
      <c r="T387" s="1">
        <v>-397.9</v>
      </c>
      <c r="U387" s="1">
        <v>4997.3</v>
      </c>
      <c r="V387" s="1">
        <v>-1456.7</v>
      </c>
      <c r="W387" s="1">
        <v>148244.09</v>
      </c>
      <c r="X387" s="1">
        <v>661.8</v>
      </c>
      <c r="Y387" s="1">
        <v>3279.28</v>
      </c>
      <c r="Z387" s="1">
        <v>-1371.94</v>
      </c>
      <c r="AA387" s="1">
        <v>51050.71</v>
      </c>
      <c r="AB387" s="1">
        <v>412.11</v>
      </c>
      <c r="AC387" s="1">
        <v>8490.2199999999993</v>
      </c>
      <c r="AD387" s="1">
        <v>1458.8</v>
      </c>
      <c r="AI387">
        <v>-9.8699999999999992</v>
      </c>
      <c r="AJ387">
        <v>-24.62</v>
      </c>
      <c r="AK387">
        <v>-47.92</v>
      </c>
    </row>
    <row r="388" spans="1:37" x14ac:dyDescent="0.2">
      <c r="A388" t="s">
        <v>628</v>
      </c>
      <c r="B388">
        <v>1207968</v>
      </c>
      <c r="C388" s="1">
        <v>991.6</v>
      </c>
      <c r="D388" s="1">
        <v>500451</v>
      </c>
      <c r="E388" t="s">
        <v>629</v>
      </c>
      <c r="G388" s="1">
        <v>1240182</v>
      </c>
      <c r="H388" s="1">
        <v>320102</v>
      </c>
      <c r="I388" s="1">
        <v>443718</v>
      </c>
      <c r="J388" s="1">
        <v>14604</v>
      </c>
      <c r="K388" s="1">
        <v>1067396</v>
      </c>
      <c r="L388" s="1">
        <v>317340</v>
      </c>
      <c r="M388" s="1">
        <v>330026</v>
      </c>
      <c r="N388" s="1">
        <v>103045</v>
      </c>
      <c r="O388" s="1">
        <v>1386534</v>
      </c>
      <c r="P388" s="1">
        <v>402846</v>
      </c>
      <c r="Q388" s="1">
        <v>132137</v>
      </c>
      <c r="R388" s="1">
        <v>3082</v>
      </c>
      <c r="S388" s="1">
        <v>1345671</v>
      </c>
      <c r="T388" s="1">
        <v>399506</v>
      </c>
      <c r="U388" s="1">
        <v>124627</v>
      </c>
      <c r="V388" s="1">
        <v>1653</v>
      </c>
      <c r="W388" s="1">
        <v>1345682</v>
      </c>
      <c r="X388" s="1">
        <v>397594</v>
      </c>
      <c r="Y388" s="1">
        <v>128319</v>
      </c>
      <c r="Z388" s="1">
        <v>6038</v>
      </c>
      <c r="AA388" s="1">
        <v>1240182</v>
      </c>
      <c r="AB388" s="1">
        <v>320102</v>
      </c>
      <c r="AC388" s="1">
        <v>177560</v>
      </c>
      <c r="AD388" s="1">
        <v>10492</v>
      </c>
      <c r="AE388" s="1">
        <v>1200069</v>
      </c>
      <c r="AF388" s="1">
        <v>309714</v>
      </c>
      <c r="AG388" s="1">
        <v>64114</v>
      </c>
      <c r="AH388" s="1">
        <v>-2235</v>
      </c>
      <c r="AI388">
        <v>1.61</v>
      </c>
      <c r="AJ388">
        <v>0</v>
      </c>
      <c r="AK388">
        <v>0</v>
      </c>
    </row>
    <row r="389" spans="1:37" x14ac:dyDescent="0.2">
      <c r="A389" t="s">
        <v>630</v>
      </c>
      <c r="B389">
        <v>1082007</v>
      </c>
      <c r="C389" s="1">
        <v>853.3</v>
      </c>
      <c r="D389" s="1">
        <v>319453</v>
      </c>
      <c r="E389" t="s">
        <v>631</v>
      </c>
      <c r="G389" s="1">
        <v>971486</v>
      </c>
      <c r="H389" s="1">
        <v>196422</v>
      </c>
      <c r="I389" s="1">
        <v>134777</v>
      </c>
      <c r="J389" s="1">
        <v>38390</v>
      </c>
      <c r="K389" s="1">
        <v>804845</v>
      </c>
      <c r="L389" s="1">
        <v>181300</v>
      </c>
      <c r="M389" s="1">
        <v>136727</v>
      </c>
      <c r="N389" s="1">
        <v>38024</v>
      </c>
      <c r="O389" s="1">
        <v>1123781</v>
      </c>
      <c r="P389" s="1">
        <v>213071</v>
      </c>
      <c r="Q389" s="1">
        <v>44636</v>
      </c>
      <c r="R389" s="1">
        <v>11255</v>
      </c>
      <c r="S389" s="1">
        <v>1059667</v>
      </c>
      <c r="T389" s="1">
        <v>206816</v>
      </c>
      <c r="U389" s="1">
        <v>41082</v>
      </c>
      <c r="V389" s="1">
        <v>10006</v>
      </c>
      <c r="W389" s="1">
        <v>1033325</v>
      </c>
      <c r="X389" s="1">
        <v>202231</v>
      </c>
      <c r="Y389" s="1">
        <v>40417</v>
      </c>
      <c r="Z389" s="1">
        <v>10705</v>
      </c>
      <c r="AA389" s="1">
        <v>971486</v>
      </c>
      <c r="AB389" s="1">
        <v>196422</v>
      </c>
      <c r="AC389" s="1">
        <v>37261</v>
      </c>
      <c r="AD389" s="1">
        <v>10517</v>
      </c>
      <c r="AE389" s="1">
        <v>889029</v>
      </c>
      <c r="AF389" s="1">
        <v>189687</v>
      </c>
      <c r="AG389" s="1">
        <v>33012</v>
      </c>
      <c r="AH389" s="1">
        <v>8683</v>
      </c>
      <c r="AI389">
        <v>-2.91</v>
      </c>
      <c r="AJ389">
        <v>38.950000000000003</v>
      </c>
      <c r="AK389">
        <v>38.03</v>
      </c>
    </row>
    <row r="390" spans="1:37" x14ac:dyDescent="0.2">
      <c r="A390" t="s">
        <v>632</v>
      </c>
      <c r="B390">
        <v>1175090</v>
      </c>
      <c r="C390" s="1">
        <v>467.7</v>
      </c>
      <c r="D390" s="1">
        <v>12487</v>
      </c>
      <c r="E390" t="s">
        <v>38</v>
      </c>
      <c r="G390" s="1">
        <v>67109</v>
      </c>
      <c r="H390" s="1">
        <v>63089</v>
      </c>
      <c r="I390" s="1">
        <v>104</v>
      </c>
      <c r="J390" s="1">
        <v>5640</v>
      </c>
      <c r="K390" s="1">
        <v>58155</v>
      </c>
      <c r="L390" s="1">
        <v>57434</v>
      </c>
      <c r="M390" s="1">
        <v>91</v>
      </c>
      <c r="N390" s="1">
        <v>16400</v>
      </c>
      <c r="S390" s="1">
        <v>47910</v>
      </c>
      <c r="T390" s="1">
        <v>46865</v>
      </c>
      <c r="U390" s="1">
        <v>103</v>
      </c>
      <c r="V390" s="1">
        <v>-16224</v>
      </c>
      <c r="AA390" s="1">
        <v>67109</v>
      </c>
      <c r="AB390" s="1">
        <v>63089</v>
      </c>
      <c r="AC390" s="1">
        <v>67</v>
      </c>
      <c r="AD390" s="1">
        <v>5894</v>
      </c>
      <c r="AI390">
        <v>5.79</v>
      </c>
      <c r="AJ390">
        <v>-4</v>
      </c>
      <c r="AK390">
        <v>-9.81</v>
      </c>
    </row>
    <row r="391" spans="1:37" x14ac:dyDescent="0.2">
      <c r="A391" t="s">
        <v>633</v>
      </c>
      <c r="B391">
        <v>249011</v>
      </c>
      <c r="C391" s="1">
        <v>275.8</v>
      </c>
      <c r="D391" s="1">
        <v>91198</v>
      </c>
      <c r="E391" t="s">
        <v>634</v>
      </c>
      <c r="G391" s="1">
        <v>147005</v>
      </c>
      <c r="H391" s="1">
        <v>91417</v>
      </c>
      <c r="I391" s="1">
        <v>171724</v>
      </c>
      <c r="J391" s="1">
        <v>13524</v>
      </c>
      <c r="K391" s="1">
        <v>130896</v>
      </c>
      <c r="L391" s="1">
        <v>77505</v>
      </c>
      <c r="M391" s="1">
        <v>150324</v>
      </c>
      <c r="N391" s="1">
        <v>-10511</v>
      </c>
      <c r="O391" s="1">
        <v>148912</v>
      </c>
      <c r="P391" s="1">
        <v>96109</v>
      </c>
      <c r="Q391" s="1">
        <v>40933</v>
      </c>
      <c r="R391" s="1">
        <v>4215</v>
      </c>
      <c r="S391" s="1">
        <v>144302</v>
      </c>
      <c r="T391" s="1">
        <v>91836</v>
      </c>
      <c r="U391" s="1">
        <v>39067</v>
      </c>
      <c r="V391" s="1">
        <v>3001</v>
      </c>
      <c r="W391" s="1">
        <v>146792</v>
      </c>
      <c r="X391" s="1">
        <v>88780</v>
      </c>
      <c r="Y391" s="1">
        <v>39021</v>
      </c>
      <c r="Z391" s="1">
        <v>1262</v>
      </c>
      <c r="AA391" s="1">
        <v>147005</v>
      </c>
      <c r="AB391" s="1">
        <v>91417</v>
      </c>
      <c r="AC391" s="1">
        <v>44168</v>
      </c>
      <c r="AD391" s="1">
        <v>6904</v>
      </c>
      <c r="AE391" s="1">
        <v>136292</v>
      </c>
      <c r="AF391" s="1">
        <v>84424</v>
      </c>
      <c r="AG391" s="1">
        <v>42593</v>
      </c>
      <c r="AH391" s="1">
        <v>2342</v>
      </c>
      <c r="AI391">
        <v>-7.59</v>
      </c>
      <c r="AJ391">
        <v>-4.37</v>
      </c>
      <c r="AK391">
        <v>17.55</v>
      </c>
    </row>
    <row r="392" spans="1:37" x14ac:dyDescent="0.2">
      <c r="A392" t="s">
        <v>635</v>
      </c>
      <c r="B392">
        <v>1158161</v>
      </c>
      <c r="C392" s="1">
        <v>1982</v>
      </c>
      <c r="D392" s="1">
        <v>792800</v>
      </c>
      <c r="E392" t="s">
        <v>636</v>
      </c>
      <c r="G392" s="1">
        <v>306184</v>
      </c>
      <c r="H392" s="1">
        <v>259179</v>
      </c>
      <c r="I392" s="1">
        <v>151458</v>
      </c>
      <c r="J392" s="1">
        <v>50905</v>
      </c>
      <c r="K392" s="1">
        <v>275050</v>
      </c>
      <c r="L392" s="1">
        <v>231368</v>
      </c>
      <c r="M392" s="1">
        <v>134919</v>
      </c>
      <c r="N392" s="1">
        <v>38216</v>
      </c>
      <c r="O392" s="1">
        <v>284140</v>
      </c>
      <c r="P392" s="1">
        <v>236094</v>
      </c>
      <c r="Q392" s="1">
        <v>40629</v>
      </c>
      <c r="R392" s="1">
        <v>12293</v>
      </c>
      <c r="S392" s="1">
        <v>301271</v>
      </c>
      <c r="T392" s="1">
        <v>253547</v>
      </c>
      <c r="U392" s="1">
        <v>38345</v>
      </c>
      <c r="V392" s="1">
        <v>13438</v>
      </c>
      <c r="W392" s="1">
        <v>321110</v>
      </c>
      <c r="X392" s="1">
        <v>239817</v>
      </c>
      <c r="Y392" s="1">
        <v>38187</v>
      </c>
      <c r="Z392" s="1">
        <v>10281</v>
      </c>
      <c r="AA392" s="1">
        <v>306184</v>
      </c>
      <c r="AB392" s="1">
        <v>259179</v>
      </c>
      <c r="AC392" s="1">
        <v>37698</v>
      </c>
      <c r="AD392" s="1">
        <v>12321</v>
      </c>
      <c r="AE392" s="1">
        <v>294503</v>
      </c>
      <c r="AF392" s="1">
        <v>246792</v>
      </c>
      <c r="AG392" s="1">
        <v>39419</v>
      </c>
      <c r="AH392" s="1">
        <v>15549</v>
      </c>
      <c r="AI392">
        <v>3.45</v>
      </c>
      <c r="AJ392">
        <v>9.5</v>
      </c>
      <c r="AK392">
        <v>35.549999999999997</v>
      </c>
    </row>
    <row r="393" spans="1:37" x14ac:dyDescent="0.2">
      <c r="A393" t="s">
        <v>637</v>
      </c>
      <c r="B393">
        <v>1176239</v>
      </c>
      <c r="C393" s="1">
        <v>176.6</v>
      </c>
      <c r="D393" s="1">
        <v>13714</v>
      </c>
      <c r="E393" t="s">
        <v>38</v>
      </c>
      <c r="G393" s="1">
        <v>2088</v>
      </c>
      <c r="H393" s="1">
        <v>-4052</v>
      </c>
      <c r="I393" s="1">
        <v>2819</v>
      </c>
      <c r="J393" s="1">
        <v>-1441</v>
      </c>
      <c r="K393" s="1">
        <v>3370</v>
      </c>
      <c r="L393" s="1">
        <v>-1851</v>
      </c>
      <c r="M393" s="1">
        <v>2823</v>
      </c>
      <c r="N393" s="1">
        <v>-5983</v>
      </c>
      <c r="S393" s="1">
        <v>3171</v>
      </c>
      <c r="T393" s="1">
        <v>-2817</v>
      </c>
      <c r="U393" s="1">
        <v>1655</v>
      </c>
      <c r="V393" s="1">
        <v>-1163</v>
      </c>
      <c r="AA393" s="1">
        <v>2088</v>
      </c>
      <c r="AB393" s="1">
        <v>-4052</v>
      </c>
      <c r="AC393" s="1">
        <v>1495</v>
      </c>
      <c r="AD393" s="1">
        <v>-1456</v>
      </c>
      <c r="AI393">
        <v>-53.74</v>
      </c>
      <c r="AJ393">
        <v>31.94</v>
      </c>
      <c r="AK393">
        <v>93.62</v>
      </c>
    </row>
    <row r="394" spans="1:37" x14ac:dyDescent="0.2">
      <c r="A394" t="s">
        <v>638</v>
      </c>
      <c r="B394">
        <v>634030</v>
      </c>
      <c r="C394" s="1">
        <v>1568</v>
      </c>
      <c r="D394" s="1">
        <v>586242</v>
      </c>
      <c r="E394" t="s">
        <v>38</v>
      </c>
      <c r="G394" s="1">
        <v>939944</v>
      </c>
      <c r="H394" s="1">
        <v>673012</v>
      </c>
      <c r="I394" s="1">
        <v>11432</v>
      </c>
      <c r="J394" s="1">
        <v>-9685</v>
      </c>
      <c r="K394" s="1">
        <v>799263</v>
      </c>
      <c r="L394" s="1">
        <v>682697</v>
      </c>
      <c r="M394" s="1">
        <v>8558</v>
      </c>
      <c r="N394" s="1">
        <v>20705</v>
      </c>
      <c r="O394" s="1">
        <v>1103289</v>
      </c>
      <c r="P394" s="1">
        <v>670973</v>
      </c>
      <c r="Q394" s="1">
        <v>7573</v>
      </c>
      <c r="R394" s="1">
        <v>-2897</v>
      </c>
      <c r="S394" s="1">
        <v>1095382</v>
      </c>
      <c r="T394" s="1">
        <v>673471</v>
      </c>
      <c r="U394" s="1">
        <v>6039</v>
      </c>
      <c r="V394" s="1">
        <v>-5136</v>
      </c>
      <c r="W394" s="1">
        <v>961354</v>
      </c>
      <c r="X394" s="1">
        <v>670170</v>
      </c>
      <c r="Y394" s="1">
        <v>5238</v>
      </c>
      <c r="Z394" s="1">
        <v>-3030</v>
      </c>
      <c r="AA394" s="1">
        <v>939944</v>
      </c>
      <c r="AB394" s="1">
        <v>673012</v>
      </c>
      <c r="AC394" s="1">
        <v>3708</v>
      </c>
      <c r="AD394" s="1">
        <v>-5852</v>
      </c>
      <c r="AE394" s="1">
        <v>831634</v>
      </c>
      <c r="AF394" s="1">
        <v>678864</v>
      </c>
      <c r="AG394" s="1">
        <v>2828</v>
      </c>
      <c r="AH394" s="1">
        <v>-1727</v>
      </c>
      <c r="AI394">
        <v>-5.31</v>
      </c>
      <c r="AJ394">
        <v>4.78</v>
      </c>
      <c r="AK394">
        <v>20.059999999999999</v>
      </c>
    </row>
    <row r="395" spans="1:37" x14ac:dyDescent="0.2">
      <c r="A395" t="s">
        <v>639</v>
      </c>
      <c r="B395">
        <v>1080837</v>
      </c>
      <c r="C395" s="1">
        <v>599.6</v>
      </c>
      <c r="D395" s="1">
        <v>376200</v>
      </c>
      <c r="E395" t="s">
        <v>640</v>
      </c>
      <c r="G395" s="1">
        <v>1073778</v>
      </c>
      <c r="H395" s="1">
        <v>343723</v>
      </c>
      <c r="I395" s="1">
        <v>864829</v>
      </c>
      <c r="J395" s="1">
        <v>12466</v>
      </c>
      <c r="K395" s="1">
        <v>904201</v>
      </c>
      <c r="L395" s="1">
        <v>298101</v>
      </c>
      <c r="M395" s="1">
        <v>808049</v>
      </c>
      <c r="N395" s="1">
        <v>15481</v>
      </c>
      <c r="O395" s="1">
        <v>1095191</v>
      </c>
      <c r="P395" s="1">
        <v>365449</v>
      </c>
      <c r="Q395" s="1">
        <v>237461</v>
      </c>
      <c r="R395" s="1">
        <v>4778</v>
      </c>
      <c r="S395" s="1">
        <v>1115163</v>
      </c>
      <c r="T395" s="1">
        <v>363480</v>
      </c>
      <c r="U395" s="1">
        <v>234925</v>
      </c>
      <c r="V395" s="1">
        <v>7392</v>
      </c>
      <c r="W395" s="1">
        <v>1097020</v>
      </c>
      <c r="X395" s="1">
        <v>346462</v>
      </c>
      <c r="Y395" s="1">
        <v>235713</v>
      </c>
      <c r="Z395" s="1">
        <v>5094</v>
      </c>
      <c r="AA395" s="1">
        <v>1073778</v>
      </c>
      <c r="AB395" s="1">
        <v>343723</v>
      </c>
      <c r="AC395" s="1">
        <v>215238</v>
      </c>
      <c r="AD395" s="1">
        <v>-706</v>
      </c>
      <c r="AE395" s="1">
        <v>1048401</v>
      </c>
      <c r="AF395" s="1">
        <v>343074</v>
      </c>
      <c r="AG395" s="1">
        <v>232671</v>
      </c>
      <c r="AH395" s="1">
        <v>3582</v>
      </c>
      <c r="AI395">
        <v>15.68</v>
      </c>
      <c r="AJ395">
        <v>59.78</v>
      </c>
      <c r="AK395">
        <v>65.33</v>
      </c>
    </row>
    <row r="396" spans="1:37" x14ac:dyDescent="0.2">
      <c r="A396" t="s">
        <v>641</v>
      </c>
      <c r="B396">
        <v>1103571</v>
      </c>
      <c r="C396" s="1">
        <v>1542</v>
      </c>
      <c r="D396" s="1">
        <v>195755</v>
      </c>
      <c r="E396" t="s">
        <v>642</v>
      </c>
      <c r="G396" s="1">
        <v>383289</v>
      </c>
      <c r="H396" s="1">
        <v>267978</v>
      </c>
      <c r="I396" s="1">
        <v>250371</v>
      </c>
      <c r="J396" s="1">
        <v>28039</v>
      </c>
      <c r="K396" s="1">
        <v>454751</v>
      </c>
      <c r="L396" s="1">
        <v>250939</v>
      </c>
      <c r="M396" s="1">
        <v>234633</v>
      </c>
      <c r="N396" s="1">
        <v>37607</v>
      </c>
      <c r="O396" s="1">
        <v>359638</v>
      </c>
      <c r="P396" s="1">
        <v>257142</v>
      </c>
      <c r="Q396" s="1">
        <v>70400</v>
      </c>
      <c r="R396" s="1">
        <v>9456</v>
      </c>
      <c r="S396" s="1">
        <v>328586</v>
      </c>
      <c r="T396" s="1">
        <v>248686</v>
      </c>
      <c r="U396" s="1">
        <v>51172</v>
      </c>
      <c r="V396" s="1">
        <v>-12963</v>
      </c>
      <c r="W396" s="1">
        <v>349017</v>
      </c>
      <c r="X396" s="1">
        <v>262649</v>
      </c>
      <c r="Y396" s="1">
        <v>50691</v>
      </c>
      <c r="Z396" s="1">
        <v>4671</v>
      </c>
      <c r="AA396" s="1">
        <v>383289</v>
      </c>
      <c r="AB396" s="1">
        <v>267978</v>
      </c>
      <c r="AC396" s="1">
        <v>70264</v>
      </c>
      <c r="AD396" s="1">
        <v>3145</v>
      </c>
      <c r="AE396" s="1">
        <v>373208</v>
      </c>
      <c r="AF396" s="1">
        <v>266833</v>
      </c>
      <c r="AG396" s="1">
        <v>73045</v>
      </c>
      <c r="AH396" s="1">
        <v>11364</v>
      </c>
      <c r="AI396">
        <v>-2.34</v>
      </c>
      <c r="AJ396">
        <v>9.69</v>
      </c>
      <c r="AK396">
        <v>24.88</v>
      </c>
    </row>
    <row r="397" spans="1:37" x14ac:dyDescent="0.2">
      <c r="A397" t="s">
        <v>643</v>
      </c>
      <c r="B397">
        <v>1092725</v>
      </c>
      <c r="C397" s="1">
        <v>70.2</v>
      </c>
      <c r="D397" s="1">
        <v>239315</v>
      </c>
      <c r="E397" t="s">
        <v>38</v>
      </c>
      <c r="G397" s="1">
        <v>262252.13</v>
      </c>
      <c r="H397" s="1">
        <v>209516.51</v>
      </c>
      <c r="I397" s="1">
        <v>142966.04999999999</v>
      </c>
      <c r="J397" s="1">
        <v>3916.88</v>
      </c>
      <c r="K397" s="1">
        <v>277835.46000000002</v>
      </c>
      <c r="L397" s="1">
        <v>218780.65</v>
      </c>
      <c r="M397" s="1">
        <v>155757.89000000001</v>
      </c>
      <c r="N397" s="1">
        <v>-10162.85</v>
      </c>
      <c r="S397" s="1">
        <v>237611.35</v>
      </c>
      <c r="T397" s="1">
        <v>193070.6</v>
      </c>
      <c r="U397" s="1">
        <v>51709.62</v>
      </c>
      <c r="V397" s="1">
        <v>-559.75</v>
      </c>
      <c r="AA397" s="1">
        <v>262252.13</v>
      </c>
      <c r="AB397" s="1">
        <v>209516.51</v>
      </c>
      <c r="AC397" s="1">
        <v>63202.51</v>
      </c>
      <c r="AD397" s="1">
        <v>189.64</v>
      </c>
      <c r="AI397">
        <v>32.340000000000003</v>
      </c>
      <c r="AJ397">
        <v>10.8</v>
      </c>
      <c r="AK397">
        <v>-23</v>
      </c>
    </row>
    <row r="398" spans="1:37" x14ac:dyDescent="0.2">
      <c r="A398" t="s">
        <v>644</v>
      </c>
      <c r="B398">
        <v>1082726</v>
      </c>
      <c r="C398" s="1">
        <v>12400</v>
      </c>
      <c r="D398" s="1">
        <v>1599424</v>
      </c>
      <c r="E398" t="s">
        <v>645</v>
      </c>
      <c r="G398" s="1">
        <v>595781.23</v>
      </c>
      <c r="H398" s="1">
        <v>408350.95</v>
      </c>
      <c r="I398" s="1">
        <v>554767.06000000006</v>
      </c>
      <c r="J398" s="1">
        <v>40726.050000000003</v>
      </c>
      <c r="K398" s="1">
        <v>528007.79</v>
      </c>
      <c r="L398" s="1">
        <v>328907.25</v>
      </c>
      <c r="M398" s="1">
        <v>412730.85</v>
      </c>
      <c r="N398" s="1">
        <v>16945.34</v>
      </c>
      <c r="O398" s="1">
        <v>740990.31</v>
      </c>
      <c r="P398" s="1">
        <v>564294.53</v>
      </c>
      <c r="Q398" s="1">
        <v>152852.91</v>
      </c>
      <c r="R398" s="1">
        <v>16004.35</v>
      </c>
      <c r="S398" s="1">
        <v>720377.22</v>
      </c>
      <c r="T398" s="1">
        <v>559013.53</v>
      </c>
      <c r="U398" s="1">
        <v>145346.69</v>
      </c>
      <c r="V398" s="1">
        <v>11606.42</v>
      </c>
      <c r="W398" s="1">
        <v>635242.6</v>
      </c>
      <c r="X398" s="1">
        <v>433265.97</v>
      </c>
      <c r="Y398" s="1">
        <v>156683.95000000001</v>
      </c>
      <c r="Z398" s="1">
        <v>14176.73</v>
      </c>
      <c r="AA398" s="1">
        <v>595781.23</v>
      </c>
      <c r="AB398" s="1">
        <v>408350.95</v>
      </c>
      <c r="AC398" s="1">
        <v>149687.47</v>
      </c>
      <c r="AD398" s="1">
        <v>13038.03</v>
      </c>
      <c r="AE398" s="1">
        <v>585018.78</v>
      </c>
      <c r="AF398" s="1">
        <v>402542.42</v>
      </c>
      <c r="AG398" s="1">
        <v>150102.89000000001</v>
      </c>
      <c r="AH398" s="1">
        <v>10629.15</v>
      </c>
      <c r="AI398">
        <v>-0.32</v>
      </c>
      <c r="AJ398">
        <v>55.32</v>
      </c>
      <c r="AK398">
        <v>471.49</v>
      </c>
    </row>
    <row r="399" spans="1:37" x14ac:dyDescent="0.2">
      <c r="A399" t="s">
        <v>646</v>
      </c>
      <c r="B399">
        <v>142018</v>
      </c>
      <c r="C399" s="1">
        <v>347.5</v>
      </c>
      <c r="D399" s="1">
        <v>19212</v>
      </c>
      <c r="E399" t="s">
        <v>38</v>
      </c>
      <c r="G399" s="1">
        <v>20042</v>
      </c>
      <c r="H399" s="1">
        <v>1717</v>
      </c>
      <c r="I399" s="1">
        <v>605</v>
      </c>
      <c r="J399" s="1">
        <v>-16215</v>
      </c>
      <c r="K399" s="1">
        <v>35620</v>
      </c>
      <c r="L399" s="1">
        <v>17933</v>
      </c>
      <c r="M399" s="1">
        <v>605</v>
      </c>
      <c r="N399" s="1">
        <v>-7651</v>
      </c>
      <c r="S399" s="1">
        <v>9544</v>
      </c>
      <c r="T399" s="1">
        <v>4296</v>
      </c>
      <c r="U399" s="1">
        <v>257</v>
      </c>
      <c r="V399" s="1">
        <v>2655</v>
      </c>
      <c r="AA399" s="1">
        <v>20042</v>
      </c>
      <c r="AB399" s="1">
        <v>1717</v>
      </c>
      <c r="AC399" s="1">
        <v>302</v>
      </c>
      <c r="AD399" s="1">
        <v>-9380</v>
      </c>
      <c r="AI399">
        <v>-39.9</v>
      </c>
      <c r="AJ399">
        <v>-39.479999999999997</v>
      </c>
      <c r="AK399">
        <v>-75.66</v>
      </c>
    </row>
    <row r="400" spans="1:37" x14ac:dyDescent="0.2">
      <c r="A400" t="s">
        <v>647</v>
      </c>
      <c r="B400">
        <v>258012</v>
      </c>
      <c r="C400" s="1">
        <v>14240</v>
      </c>
      <c r="D400" s="1">
        <v>1222647</v>
      </c>
      <c r="E400" t="s">
        <v>38</v>
      </c>
      <c r="G400" s="1">
        <v>1646562</v>
      </c>
      <c r="H400" s="1">
        <v>480662</v>
      </c>
      <c r="I400" s="1">
        <v>1931580</v>
      </c>
      <c r="J400" s="1">
        <v>15267</v>
      </c>
      <c r="K400" s="1">
        <v>1516590</v>
      </c>
      <c r="L400" s="1">
        <v>510169</v>
      </c>
      <c r="M400" s="1">
        <v>1954542</v>
      </c>
      <c r="N400" s="1">
        <v>96173</v>
      </c>
      <c r="O400" s="1">
        <v>1640919</v>
      </c>
      <c r="P400" s="1">
        <v>450574</v>
      </c>
      <c r="Q400" s="1">
        <v>523444</v>
      </c>
      <c r="R400" s="1">
        <v>21289</v>
      </c>
      <c r="S400" s="1">
        <v>1725291</v>
      </c>
      <c r="T400" s="1">
        <v>434131</v>
      </c>
      <c r="U400" s="1">
        <v>479304</v>
      </c>
      <c r="V400" s="1">
        <v>-44863</v>
      </c>
      <c r="W400" s="1">
        <v>1704285</v>
      </c>
      <c r="X400" s="1">
        <v>483549</v>
      </c>
      <c r="Y400" s="1">
        <v>393120</v>
      </c>
      <c r="Z400" s="1">
        <v>-9556</v>
      </c>
      <c r="AA400" s="1">
        <v>1646562</v>
      </c>
      <c r="AB400" s="1">
        <v>480662</v>
      </c>
      <c r="AC400" s="1">
        <v>515476</v>
      </c>
      <c r="AD400" s="1">
        <v>-26075</v>
      </c>
      <c r="AE400" s="1">
        <v>1729881</v>
      </c>
      <c r="AF400" s="1">
        <v>537006</v>
      </c>
      <c r="AG400" s="1">
        <v>598975</v>
      </c>
      <c r="AH400" s="1">
        <v>31643</v>
      </c>
      <c r="AI400">
        <v>-22.13</v>
      </c>
      <c r="AJ400">
        <v>-34.21</v>
      </c>
      <c r="AK400">
        <v>-62.17</v>
      </c>
    </row>
    <row r="401" spans="1:37" x14ac:dyDescent="0.2">
      <c r="A401" t="s">
        <v>648</v>
      </c>
      <c r="B401">
        <v>1129493</v>
      </c>
      <c r="C401" s="1">
        <v>2342</v>
      </c>
      <c r="D401" s="1">
        <v>468423</v>
      </c>
      <c r="E401" t="s">
        <v>649</v>
      </c>
      <c r="G401" s="1">
        <v>651368.80000000005</v>
      </c>
      <c r="H401" s="1">
        <v>343102.47</v>
      </c>
      <c r="I401" s="1">
        <v>99431.81</v>
      </c>
      <c r="J401" s="1">
        <v>9496.7900000000009</v>
      </c>
      <c r="K401" s="1">
        <v>587291.11</v>
      </c>
      <c r="L401" s="1">
        <v>358978.71</v>
      </c>
      <c r="M401" s="1">
        <v>82644.820000000007</v>
      </c>
      <c r="N401" s="1">
        <v>16822.03</v>
      </c>
      <c r="S401" s="1">
        <v>585726.51</v>
      </c>
      <c r="T401" s="1">
        <v>313788.2</v>
      </c>
      <c r="U401" s="1">
        <v>23351.1</v>
      </c>
      <c r="V401" s="1">
        <v>8116.4</v>
      </c>
      <c r="W401" s="1">
        <v>648679.44999999995</v>
      </c>
      <c r="X401" s="1">
        <v>337036.69</v>
      </c>
      <c r="Y401" s="1">
        <v>26089.21</v>
      </c>
      <c r="Z401" s="1">
        <v>2126.6999999999998</v>
      </c>
      <c r="AA401" s="1">
        <v>651368.80000000005</v>
      </c>
      <c r="AB401" s="1">
        <v>343102.47</v>
      </c>
      <c r="AC401" s="1">
        <v>25259.119999999999</v>
      </c>
      <c r="AD401" s="1">
        <v>-361.05</v>
      </c>
      <c r="AE401" s="1">
        <v>664954.43999999994</v>
      </c>
      <c r="AF401" s="1">
        <v>358671.67</v>
      </c>
      <c r="AG401" s="1">
        <v>27906.62</v>
      </c>
      <c r="AH401" s="1">
        <v>6147.47</v>
      </c>
      <c r="AI401">
        <v>10.77</v>
      </c>
      <c r="AJ401">
        <v>53.28</v>
      </c>
      <c r="AK401">
        <v>216.97</v>
      </c>
    </row>
    <row r="402" spans="1:37" x14ac:dyDescent="0.2">
      <c r="A402" t="s">
        <v>650</v>
      </c>
      <c r="B402">
        <v>796011</v>
      </c>
      <c r="C402" s="1">
        <v>4959</v>
      </c>
      <c r="D402" s="1">
        <v>115731</v>
      </c>
      <c r="E402" t="s">
        <v>651</v>
      </c>
      <c r="G402" s="1">
        <v>295624</v>
      </c>
      <c r="H402" s="1">
        <v>227842</v>
      </c>
      <c r="I402" s="1">
        <v>93529</v>
      </c>
      <c r="J402" s="1">
        <v>703</v>
      </c>
      <c r="K402" s="1">
        <v>295342</v>
      </c>
      <c r="L402" s="1">
        <v>231111</v>
      </c>
      <c r="M402" s="1">
        <v>80303</v>
      </c>
      <c r="N402" s="1">
        <v>101308</v>
      </c>
      <c r="S402" s="1">
        <v>296861</v>
      </c>
      <c r="T402" s="1">
        <v>229777</v>
      </c>
      <c r="U402" s="1">
        <v>39880</v>
      </c>
      <c r="V402" s="1">
        <v>3923</v>
      </c>
      <c r="AA402" s="1">
        <v>295624</v>
      </c>
      <c r="AB402" s="1">
        <v>227842</v>
      </c>
      <c r="AC402" s="1">
        <v>49157</v>
      </c>
      <c r="AD402" s="1">
        <v>-7780</v>
      </c>
      <c r="AI402">
        <v>-17.399999999999999</v>
      </c>
      <c r="AJ402">
        <v>-21.05</v>
      </c>
      <c r="AK402">
        <v>-19.02</v>
      </c>
    </row>
    <row r="403" spans="1:37" x14ac:dyDescent="0.2">
      <c r="A403" t="s">
        <v>652</v>
      </c>
      <c r="B403">
        <v>1105022</v>
      </c>
      <c r="C403" s="1">
        <v>5387</v>
      </c>
      <c r="D403" s="1">
        <v>542103</v>
      </c>
      <c r="E403" t="s">
        <v>653</v>
      </c>
      <c r="G403" s="1">
        <v>476683</v>
      </c>
      <c r="H403" s="1">
        <v>176144</v>
      </c>
      <c r="I403" s="1">
        <v>1330722</v>
      </c>
      <c r="J403" s="1">
        <v>27996</v>
      </c>
      <c r="K403" s="1">
        <v>418653</v>
      </c>
      <c r="L403" s="1">
        <v>164737</v>
      </c>
      <c r="M403" s="1">
        <v>1197100</v>
      </c>
      <c r="N403" s="1">
        <v>18736</v>
      </c>
      <c r="S403" s="1">
        <v>539822</v>
      </c>
      <c r="T403" s="1">
        <v>188371</v>
      </c>
      <c r="U403" s="1">
        <v>384778</v>
      </c>
      <c r="V403" s="1">
        <v>10525</v>
      </c>
      <c r="W403" s="1">
        <v>507046</v>
      </c>
      <c r="X403" s="1">
        <v>182925</v>
      </c>
      <c r="Y403" s="1">
        <v>358498</v>
      </c>
      <c r="Z403" s="1">
        <v>9755</v>
      </c>
      <c r="AA403" s="1">
        <v>476683</v>
      </c>
      <c r="AB403" s="1">
        <v>176144</v>
      </c>
      <c r="AC403" s="1">
        <v>328187</v>
      </c>
      <c r="AD403" s="1">
        <v>500</v>
      </c>
      <c r="AE403" s="1">
        <v>470955</v>
      </c>
      <c r="AF403" s="1">
        <v>179213</v>
      </c>
      <c r="AG403" s="1">
        <v>340776</v>
      </c>
      <c r="AH403" s="1">
        <v>7970</v>
      </c>
      <c r="AI403">
        <v>-2.67</v>
      </c>
      <c r="AJ403">
        <v>1.61</v>
      </c>
      <c r="AK403">
        <v>38.229999999999997</v>
      </c>
    </row>
    <row r="404" spans="1:37" x14ac:dyDescent="0.2">
      <c r="A404" t="s">
        <v>654</v>
      </c>
      <c r="B404">
        <v>1173871</v>
      </c>
      <c r="C404" s="1">
        <v>322</v>
      </c>
      <c r="D404" s="1">
        <v>27579</v>
      </c>
      <c r="E404" t="s">
        <v>38</v>
      </c>
      <c r="G404" s="1">
        <v>30663</v>
      </c>
      <c r="H404" s="1">
        <v>2062</v>
      </c>
      <c r="I404" s="1">
        <v>7527</v>
      </c>
      <c r="J404" s="1">
        <v>-15998</v>
      </c>
      <c r="K404" s="1">
        <v>20070</v>
      </c>
      <c r="L404" s="1">
        <v>-1189</v>
      </c>
      <c r="M404" s="1">
        <v>4175</v>
      </c>
      <c r="N404" s="1">
        <v>-13333</v>
      </c>
      <c r="S404" s="1">
        <v>24507</v>
      </c>
      <c r="T404" s="1">
        <v>-4266</v>
      </c>
      <c r="U404" s="1">
        <v>2920</v>
      </c>
      <c r="V404" s="1">
        <v>-12152</v>
      </c>
      <c r="AA404" s="1">
        <v>30663</v>
      </c>
      <c r="AB404" s="1">
        <v>2062</v>
      </c>
      <c r="AC404" s="1">
        <v>6610</v>
      </c>
      <c r="AD404" s="1">
        <v>-7890</v>
      </c>
      <c r="AI404">
        <v>-42.88</v>
      </c>
      <c r="AJ404">
        <v>-55.85</v>
      </c>
      <c r="AK404">
        <v>-46.77</v>
      </c>
    </row>
    <row r="405" spans="1:37" x14ac:dyDescent="0.2">
      <c r="A405" t="s">
        <v>655</v>
      </c>
      <c r="B405">
        <v>1084367</v>
      </c>
      <c r="C405" s="1">
        <v>34.700000000000003</v>
      </c>
      <c r="D405" s="1">
        <v>29483</v>
      </c>
      <c r="E405" t="s">
        <v>38</v>
      </c>
      <c r="G405" s="1">
        <v>24007</v>
      </c>
      <c r="H405" s="1">
        <v>2483</v>
      </c>
      <c r="I405" s="1">
        <v>34952</v>
      </c>
      <c r="J405" s="1">
        <v>-40101</v>
      </c>
      <c r="K405" s="1">
        <v>76573</v>
      </c>
      <c r="L405" s="1">
        <v>40872</v>
      </c>
      <c r="M405" s="1">
        <v>44228</v>
      </c>
      <c r="N405" s="1">
        <v>-88886</v>
      </c>
      <c r="S405" s="1">
        <v>7835</v>
      </c>
      <c r="T405" s="1">
        <v>-11821</v>
      </c>
      <c r="U405" s="1">
        <v>8532</v>
      </c>
      <c r="V405" s="1">
        <v>-14421</v>
      </c>
      <c r="AA405" s="1">
        <v>24007</v>
      </c>
      <c r="AB405" s="1">
        <v>2483</v>
      </c>
      <c r="AC405" s="1">
        <v>14101</v>
      </c>
      <c r="AD405" s="1">
        <v>-11416</v>
      </c>
      <c r="AI405">
        <v>-10.130000000000001</v>
      </c>
      <c r="AJ405">
        <v>2.4300000000000002</v>
      </c>
      <c r="AK405">
        <v>-74.36</v>
      </c>
    </row>
    <row r="406" spans="1:37" x14ac:dyDescent="0.2">
      <c r="A406" t="s">
        <v>656</v>
      </c>
      <c r="B406">
        <v>1097229</v>
      </c>
      <c r="C406" s="1">
        <v>1439</v>
      </c>
      <c r="D406" s="1">
        <v>89797</v>
      </c>
      <c r="E406" t="s">
        <v>38</v>
      </c>
      <c r="G406" s="1">
        <v>44380</v>
      </c>
      <c r="H406" s="1">
        <v>35226</v>
      </c>
      <c r="I406" s="1">
        <v>95840</v>
      </c>
      <c r="J406" s="1">
        <v>35885</v>
      </c>
      <c r="K406" s="1">
        <v>71132</v>
      </c>
      <c r="L406" s="1">
        <v>59821</v>
      </c>
      <c r="M406" s="1">
        <v>907</v>
      </c>
      <c r="N406" s="1">
        <v>-4897</v>
      </c>
      <c r="S406" s="1">
        <v>41661</v>
      </c>
      <c r="T406" s="1">
        <v>36970</v>
      </c>
      <c r="U406" s="1">
        <v>14249</v>
      </c>
      <c r="V406" s="1">
        <v>-35650</v>
      </c>
      <c r="AA406" s="1">
        <v>44380</v>
      </c>
      <c r="AB406" s="1">
        <v>35226</v>
      </c>
      <c r="AC406" s="1">
        <v>26347</v>
      </c>
      <c r="AD406" s="1">
        <v>-1005</v>
      </c>
      <c r="AI406">
        <v>18.23</v>
      </c>
      <c r="AJ406">
        <v>30.31</v>
      </c>
      <c r="AK406">
        <v>184.54</v>
      </c>
    </row>
    <row r="407" spans="1:37" x14ac:dyDescent="0.2">
      <c r="A407" t="s">
        <v>657</v>
      </c>
      <c r="B407">
        <v>290023</v>
      </c>
      <c r="C407" s="1">
        <v>37.799999999999997</v>
      </c>
      <c r="D407" s="1">
        <v>43069</v>
      </c>
      <c r="E407" t="s">
        <v>38</v>
      </c>
      <c r="G407" s="1">
        <v>50766.239999999998</v>
      </c>
      <c r="H407" s="1">
        <v>50405.19</v>
      </c>
      <c r="J407" s="1">
        <v>-11633.93</v>
      </c>
      <c r="K407" s="1">
        <v>62569.38</v>
      </c>
      <c r="L407" s="1">
        <v>61546.559999999998</v>
      </c>
      <c r="N407" s="1">
        <v>-7181.46</v>
      </c>
      <c r="S407" s="1">
        <v>45714.2</v>
      </c>
      <c r="T407" s="1">
        <v>45548.98</v>
      </c>
      <c r="U407" s="1">
        <v>2535.7399999999998</v>
      </c>
      <c r="V407" s="1">
        <v>-1126.25</v>
      </c>
      <c r="AA407" s="1">
        <v>50766.239999999998</v>
      </c>
      <c r="AB407" s="1">
        <v>50405.19</v>
      </c>
      <c r="AD407" s="1">
        <v>-9850.5499999999993</v>
      </c>
      <c r="AI407">
        <v>28.96</v>
      </c>
      <c r="AJ407">
        <v>3.79</v>
      </c>
      <c r="AK407">
        <v>-27.74</v>
      </c>
    </row>
    <row r="408" spans="1:37" x14ac:dyDescent="0.2">
      <c r="A408" t="s">
        <v>658</v>
      </c>
      <c r="B408">
        <v>1082585</v>
      </c>
      <c r="C408" s="1">
        <v>1394</v>
      </c>
      <c r="D408" s="1">
        <v>178461</v>
      </c>
      <c r="E408" t="s">
        <v>659</v>
      </c>
      <c r="G408" s="1">
        <v>546273.19999999995</v>
      </c>
      <c r="H408" s="1">
        <v>280060.43</v>
      </c>
      <c r="I408" s="1">
        <v>1071718.3799999999</v>
      </c>
      <c r="J408" s="1">
        <v>55113.47</v>
      </c>
      <c r="K408" s="1">
        <v>510841.2</v>
      </c>
      <c r="L408" s="1">
        <v>229161.12</v>
      </c>
      <c r="M408" s="1">
        <v>883040.32</v>
      </c>
      <c r="N408" s="1">
        <v>39653.99</v>
      </c>
      <c r="O408" s="1">
        <v>503804.65</v>
      </c>
      <c r="P408" s="1">
        <v>261679.82</v>
      </c>
      <c r="Q408" s="1">
        <v>180375.36</v>
      </c>
      <c r="R408" s="1">
        <v>-6281.4</v>
      </c>
      <c r="S408" s="1">
        <v>545137.75</v>
      </c>
      <c r="T408" s="1">
        <v>272919.56</v>
      </c>
      <c r="U408" s="1">
        <v>232074.53</v>
      </c>
      <c r="V408" s="1">
        <v>11444.57</v>
      </c>
      <c r="W408" s="1">
        <v>556060.35</v>
      </c>
      <c r="X408" s="1">
        <v>286070.34999999998</v>
      </c>
      <c r="Y408" s="1">
        <v>219581.36</v>
      </c>
      <c r="Z408" s="1">
        <v>6896.89</v>
      </c>
      <c r="AA408" s="1">
        <v>546273.19999999995</v>
      </c>
      <c r="AB408" s="1">
        <v>280060.43</v>
      </c>
      <c r="AC408" s="1">
        <v>231336.51</v>
      </c>
      <c r="AD408" s="1">
        <v>7002.24</v>
      </c>
      <c r="AE408" s="1">
        <v>562139.21</v>
      </c>
      <c r="AF408" s="1">
        <v>278654.39</v>
      </c>
      <c r="AG408" s="1">
        <v>283377.21999999997</v>
      </c>
      <c r="AH408" s="1">
        <v>16212.7</v>
      </c>
      <c r="AI408">
        <v>-37.31</v>
      </c>
      <c r="AJ408">
        <v>-54.86</v>
      </c>
      <c r="AK408">
        <v>91.54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EECC-FE18-4715-9C4A-7A7D4A07C69F}">
  <dimension ref="A1:AV203"/>
  <sheetViews>
    <sheetView rightToLeft="1" workbookViewId="0">
      <pane xSplit="1" ySplit="1" topLeftCell="AF2" activePane="bottomRight" state="frozen"/>
      <selection activeCell="B20" sqref="B20"/>
      <selection pane="topRight" activeCell="B20" sqref="B20"/>
      <selection pane="bottomLeft" activeCell="B20" sqref="B20"/>
      <selection pane="bottomRight" activeCell="B20" sqref="B20"/>
    </sheetView>
  </sheetViews>
  <sheetFormatPr defaultRowHeight="14.25" x14ac:dyDescent="0.2"/>
  <cols>
    <col min="1" max="1" width="16.5" bestFit="1" customWidth="1"/>
    <col min="2" max="2" width="9.875" bestFit="1" customWidth="1"/>
    <col min="3" max="3" width="10.875" style="1" bestFit="1" customWidth="1"/>
    <col min="4" max="4" width="12.375" style="1" bestFit="1" customWidth="1"/>
    <col min="5" max="5" width="8.5" style="2" bestFit="1" customWidth="1"/>
    <col min="6" max="6" width="11.75" bestFit="1" customWidth="1"/>
    <col min="7" max="7" width="13.5" style="1" bestFit="1" customWidth="1"/>
    <col min="8" max="8" width="12.875" style="1" bestFit="1" customWidth="1"/>
    <col min="9" max="9" width="13.5" style="1" bestFit="1" customWidth="1"/>
    <col min="10" max="10" width="12.5" style="1" bestFit="1" customWidth="1"/>
    <col min="11" max="11" width="13.5" style="1" bestFit="1" customWidth="1"/>
    <col min="12" max="12" width="12.875" style="1" bestFit="1" customWidth="1"/>
    <col min="13" max="13" width="13.5" style="1" bestFit="1" customWidth="1"/>
    <col min="14" max="14" width="12.5" style="1" bestFit="1" customWidth="1"/>
    <col min="15" max="15" width="14.5" style="1" bestFit="1" customWidth="1"/>
    <col min="16" max="16" width="14.375" style="1" bestFit="1" customWidth="1"/>
    <col min="17" max="18" width="14" style="1" bestFit="1" customWidth="1"/>
    <col min="19" max="19" width="14.5" style="1" bestFit="1" customWidth="1"/>
    <col min="20" max="20" width="14.375" style="1" bestFit="1" customWidth="1"/>
    <col min="21" max="22" width="14" style="1" bestFit="1" customWidth="1"/>
    <col min="23" max="23" width="14.5" style="1" bestFit="1" customWidth="1"/>
    <col min="24" max="24" width="14.375" style="1" bestFit="1" customWidth="1"/>
    <col min="25" max="26" width="14" style="1" bestFit="1" customWidth="1"/>
    <col min="27" max="27" width="14.5" style="1" bestFit="1" customWidth="1"/>
    <col min="28" max="28" width="14.375" style="1" bestFit="1" customWidth="1"/>
    <col min="29" max="30" width="14" style="1" bestFit="1" customWidth="1"/>
    <col min="31" max="31" width="14.5" style="1" bestFit="1" customWidth="1"/>
    <col min="32" max="32" width="14.375" style="1" bestFit="1" customWidth="1"/>
    <col min="33" max="34" width="14" style="1" bestFit="1" customWidth="1"/>
    <col min="35" max="36" width="12.375" customWidth="1"/>
    <col min="37" max="37" width="10.125" customWidth="1"/>
    <col min="38" max="38" width="13.125" customWidth="1"/>
    <col min="40" max="40" width="12.625" customWidth="1"/>
    <col min="43" max="44" width="14.125" customWidth="1"/>
    <col min="45" max="45" width="16.5" bestFit="1" customWidth="1"/>
    <col min="46" max="46" width="13.75" bestFit="1" customWidth="1"/>
    <col min="47" max="47" width="14.75" bestFit="1" customWidth="1"/>
    <col min="48" max="48" width="11.75" bestFit="1" customWidth="1"/>
  </cols>
  <sheetData>
    <row r="1" spans="1:48" ht="30" x14ac:dyDescent="0.2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t="s">
        <v>660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661</v>
      </c>
      <c r="AJ1" s="4" t="s">
        <v>662</v>
      </c>
      <c r="AK1" s="4" t="s">
        <v>663</v>
      </c>
      <c r="AL1" s="5" t="s">
        <v>664</v>
      </c>
      <c r="AM1" s="6" t="s">
        <v>665</v>
      </c>
      <c r="AN1" s="7" t="s">
        <v>666</v>
      </c>
      <c r="AO1" s="6" t="s">
        <v>665</v>
      </c>
      <c r="AP1" s="7" t="s">
        <v>667</v>
      </c>
      <c r="AT1" t="s">
        <v>34</v>
      </c>
      <c r="AU1" t="s">
        <v>35</v>
      </c>
      <c r="AV1" t="s">
        <v>36</v>
      </c>
    </row>
    <row r="2" spans="1:48" x14ac:dyDescent="0.2">
      <c r="A2" t="s">
        <v>74</v>
      </c>
      <c r="B2">
        <v>1141324</v>
      </c>
      <c r="C2" s="1">
        <v>923.4</v>
      </c>
      <c r="D2" s="1">
        <v>372490</v>
      </c>
      <c r="E2" s="2" t="s">
        <v>75</v>
      </c>
      <c r="F2" s="8">
        <f>P2/O2</f>
        <v>0.92194309496129134</v>
      </c>
      <c r="G2" s="1">
        <v>566298.88</v>
      </c>
      <c r="H2" s="1">
        <v>533428.47</v>
      </c>
      <c r="J2" s="1">
        <v>-69511.820000000007</v>
      </c>
      <c r="K2" s="1">
        <v>799938.5</v>
      </c>
      <c r="L2" s="1">
        <v>594178.78</v>
      </c>
      <c r="M2" s="1">
        <v>4860.18</v>
      </c>
      <c r="N2" s="1">
        <v>20039.18</v>
      </c>
      <c r="O2" s="1">
        <v>728949.86</v>
      </c>
      <c r="P2" s="1">
        <v>672050.29</v>
      </c>
      <c r="R2" s="1">
        <v>159993.87</v>
      </c>
      <c r="S2" s="1">
        <v>545198.43999999994</v>
      </c>
      <c r="T2" s="1">
        <v>521071.78</v>
      </c>
      <c r="V2" s="1">
        <v>44807.14</v>
      </c>
      <c r="W2" s="1">
        <v>548549.99</v>
      </c>
      <c r="X2" s="1">
        <v>523539.01</v>
      </c>
      <c r="Y2" s="1">
        <v>7436</v>
      </c>
      <c r="Z2" s="1">
        <v>-28412.959999999999</v>
      </c>
      <c r="AA2" s="1">
        <v>566298.88</v>
      </c>
      <c r="AB2" s="1">
        <v>533428.47</v>
      </c>
      <c r="AD2" s="1">
        <v>-37159.279999999999</v>
      </c>
      <c r="AE2" s="1">
        <v>612450.52</v>
      </c>
      <c r="AF2" s="1">
        <v>580396.12</v>
      </c>
      <c r="AH2" s="1">
        <v>-72786.490000000005</v>
      </c>
      <c r="AI2" s="1">
        <f t="shared" ref="AI2:AI65" si="0">D2/E2</f>
        <v>152036.73469387754</v>
      </c>
      <c r="AJ2" s="1">
        <f t="shared" ref="AJ2:AJ65" si="1">R2+V2+Z2+AD2</f>
        <v>139228.77000000002</v>
      </c>
      <c r="AK2" s="8">
        <f t="shared" ref="AK2:AK65" si="2">AJ2/AI2-1</f>
        <v>-8.4242566243388883E-2</v>
      </c>
      <c r="AL2" s="9">
        <f t="shared" ref="AL2:AL65" si="3">(Y2+U2+Q2)/3*4</f>
        <v>9914.6666666666661</v>
      </c>
      <c r="AM2" s="8" t="e">
        <f t="shared" ref="AM2:AM65" si="4">AL2/I2-1</f>
        <v>#DIV/0!</v>
      </c>
      <c r="AN2" s="9">
        <f t="shared" ref="AN2:AN65" si="5">(Z2+V2+R2)/3*4</f>
        <v>235184.06666666665</v>
      </c>
      <c r="AO2" s="8">
        <f t="shared" ref="AO2:AO65" si="6">AN2/J2-1</f>
        <v>-4.3833679893098267</v>
      </c>
      <c r="AP2" s="8">
        <f>AN2/AI2-1</f>
        <v>0.54688975095528281</v>
      </c>
      <c r="AT2">
        <v>30.45</v>
      </c>
      <c r="AU2">
        <v>10.19</v>
      </c>
      <c r="AV2">
        <v>-64.959999999999994</v>
      </c>
    </row>
    <row r="3" spans="1:48" x14ac:dyDescent="0.2">
      <c r="A3" t="s">
        <v>258</v>
      </c>
      <c r="B3">
        <v>1156926</v>
      </c>
      <c r="C3" s="1">
        <v>122.1</v>
      </c>
      <c r="D3" s="1">
        <v>1836339</v>
      </c>
      <c r="E3" s="2" t="s">
        <v>259</v>
      </c>
      <c r="F3" s="8">
        <f t="shared" ref="F3:F35" si="7">P3/O3</f>
        <v>0.52109376164516841</v>
      </c>
      <c r="G3" s="1">
        <v>4240213</v>
      </c>
      <c r="H3" s="1">
        <v>2198386</v>
      </c>
      <c r="I3" s="1">
        <v>244287</v>
      </c>
      <c r="J3" s="1">
        <v>90112</v>
      </c>
      <c r="K3" s="1">
        <v>4052839</v>
      </c>
      <c r="L3" s="1">
        <v>2082728</v>
      </c>
      <c r="M3" s="1">
        <v>482217</v>
      </c>
      <c r="N3" s="1">
        <v>277202</v>
      </c>
      <c r="O3" s="1">
        <v>4427802</v>
      </c>
      <c r="P3" s="1">
        <v>2307300</v>
      </c>
      <c r="Q3" s="1">
        <v>97536</v>
      </c>
      <c r="R3" s="1">
        <v>42725</v>
      </c>
      <c r="S3" s="1">
        <v>4384453</v>
      </c>
      <c r="T3" s="1">
        <v>2277797</v>
      </c>
      <c r="U3" s="1">
        <v>137454</v>
      </c>
      <c r="V3" s="1">
        <v>76993</v>
      </c>
      <c r="W3" s="1">
        <v>4275726</v>
      </c>
      <c r="X3" s="1">
        <v>2214876</v>
      </c>
      <c r="Y3" s="1">
        <v>66203</v>
      </c>
      <c r="Z3" s="1">
        <v>30573</v>
      </c>
      <c r="AA3" s="1">
        <v>4240213</v>
      </c>
      <c r="AB3" s="1">
        <v>2198386</v>
      </c>
      <c r="AC3" s="1">
        <v>1614</v>
      </c>
      <c r="AD3" s="1">
        <v>-20292</v>
      </c>
      <c r="AE3" s="1">
        <v>4232142</v>
      </c>
      <c r="AF3" s="1">
        <v>2195826</v>
      </c>
      <c r="AG3" s="1">
        <v>107074</v>
      </c>
      <c r="AH3" s="1">
        <v>54333</v>
      </c>
      <c r="AI3" s="1">
        <f t="shared" si="0"/>
        <v>129960.29723991506</v>
      </c>
      <c r="AJ3" s="1">
        <f t="shared" si="1"/>
        <v>129999</v>
      </c>
      <c r="AK3" s="8">
        <f t="shared" si="2"/>
        <v>2.9780449034744194E-4</v>
      </c>
      <c r="AL3" s="9">
        <f t="shared" si="3"/>
        <v>401590.66666666669</v>
      </c>
      <c r="AM3" s="8">
        <f t="shared" si="4"/>
        <v>0.64392974929761593</v>
      </c>
      <c r="AN3" s="9">
        <f t="shared" si="5"/>
        <v>200388</v>
      </c>
      <c r="AO3" s="8">
        <f t="shared" si="6"/>
        <v>1.2237659801136362</v>
      </c>
      <c r="AP3" s="8">
        <f>AN3/AI3-1</f>
        <v>0.54191706433289299</v>
      </c>
      <c r="AQ3" s="10" t="s">
        <v>668</v>
      </c>
      <c r="AR3" t="s">
        <v>669</v>
      </c>
      <c r="AT3">
        <v>6.25</v>
      </c>
      <c r="AU3">
        <v>69.66</v>
      </c>
      <c r="AV3">
        <v>10.28</v>
      </c>
    </row>
    <row r="4" spans="1:48" x14ac:dyDescent="0.2">
      <c r="A4" t="s">
        <v>594</v>
      </c>
      <c r="B4">
        <v>413013</v>
      </c>
      <c r="C4" s="1">
        <v>1988</v>
      </c>
      <c r="D4" s="1">
        <v>152224</v>
      </c>
      <c r="E4" s="2" t="s">
        <v>595</v>
      </c>
      <c r="F4" s="8">
        <f t="shared" si="7"/>
        <v>0.2032740678189657</v>
      </c>
      <c r="G4" s="1">
        <v>294214.44</v>
      </c>
      <c r="H4" s="1">
        <v>71769.31</v>
      </c>
      <c r="I4" s="1">
        <v>500587.23</v>
      </c>
      <c r="J4" s="1">
        <v>9442.08</v>
      </c>
      <c r="K4" s="1">
        <v>224529.44</v>
      </c>
      <c r="L4" s="1">
        <v>61833.1</v>
      </c>
      <c r="M4" s="1">
        <v>818077.13</v>
      </c>
      <c r="N4" s="1">
        <v>21975.99</v>
      </c>
      <c r="O4" s="1">
        <v>339278.25</v>
      </c>
      <c r="P4" s="1">
        <v>68966.47</v>
      </c>
      <c r="Q4" s="1">
        <v>293347.99</v>
      </c>
      <c r="R4" s="1">
        <v>16870.52</v>
      </c>
      <c r="S4" s="1">
        <v>351332.05</v>
      </c>
      <c r="T4" s="1">
        <v>53338.3</v>
      </c>
      <c r="U4" s="1">
        <v>143195.35</v>
      </c>
      <c r="V4" s="1">
        <v>-1662.4</v>
      </c>
      <c r="W4" s="1">
        <v>334255.63</v>
      </c>
      <c r="X4" s="1">
        <v>59086.45</v>
      </c>
      <c r="Y4" s="1">
        <v>122768.36</v>
      </c>
      <c r="Z4" s="1">
        <v>-1728.87</v>
      </c>
      <c r="AA4" s="1">
        <v>294214.44</v>
      </c>
      <c r="AB4" s="1">
        <v>71769.31</v>
      </c>
      <c r="AC4" s="1">
        <v>99796.51</v>
      </c>
      <c r="AD4" s="1">
        <v>-692.93</v>
      </c>
      <c r="AE4" s="1">
        <v>295709.26</v>
      </c>
      <c r="AF4" s="1">
        <v>73558.17</v>
      </c>
      <c r="AG4" s="1">
        <v>231882.42</v>
      </c>
      <c r="AH4" s="1">
        <v>11471.32</v>
      </c>
      <c r="AI4" s="1">
        <f t="shared" si="0"/>
        <v>12856.756756756757</v>
      </c>
      <c r="AJ4" s="1">
        <f t="shared" si="1"/>
        <v>12786.32</v>
      </c>
      <c r="AK4" s="8">
        <f t="shared" si="2"/>
        <v>-5.4785789363044346E-3</v>
      </c>
      <c r="AL4" s="9">
        <f t="shared" si="3"/>
        <v>745748.93333333323</v>
      </c>
      <c r="AM4" s="8">
        <f t="shared" si="4"/>
        <v>0.48974821697575721</v>
      </c>
      <c r="AN4" s="9">
        <f t="shared" si="5"/>
        <v>17972.333333333332</v>
      </c>
      <c r="AO4" s="8">
        <f t="shared" si="6"/>
        <v>0.90342947034269283</v>
      </c>
      <c r="AP4" s="8">
        <f>AN4/AI4-1</f>
        <v>0.3978901268306354</v>
      </c>
      <c r="AQ4" s="11" t="s">
        <v>668</v>
      </c>
      <c r="AT4">
        <v>-4.22</v>
      </c>
      <c r="AU4">
        <v>50.84</v>
      </c>
      <c r="AV4">
        <v>205.42</v>
      </c>
    </row>
    <row r="5" spans="1:48" x14ac:dyDescent="0.2">
      <c r="A5" t="s">
        <v>639</v>
      </c>
      <c r="B5">
        <v>1080837</v>
      </c>
      <c r="C5" s="1">
        <v>599.6</v>
      </c>
      <c r="D5" s="1">
        <v>376200</v>
      </c>
      <c r="E5" s="2" t="s">
        <v>640</v>
      </c>
      <c r="F5" s="8">
        <f t="shared" si="7"/>
        <v>0.33368517454946217</v>
      </c>
      <c r="G5" s="1">
        <v>1073778</v>
      </c>
      <c r="H5" s="1">
        <v>343723</v>
      </c>
      <c r="I5" s="1">
        <v>864829</v>
      </c>
      <c r="J5" s="1">
        <v>12466</v>
      </c>
      <c r="K5" s="1">
        <v>904201</v>
      </c>
      <c r="L5" s="1">
        <v>298101</v>
      </c>
      <c r="M5" s="1">
        <v>808049</v>
      </c>
      <c r="N5" s="1">
        <v>15481</v>
      </c>
      <c r="O5" s="1">
        <v>1095191</v>
      </c>
      <c r="P5" s="1">
        <v>365449</v>
      </c>
      <c r="Q5" s="1">
        <v>237461</v>
      </c>
      <c r="R5" s="1">
        <v>4778</v>
      </c>
      <c r="S5" s="1">
        <v>1115163</v>
      </c>
      <c r="T5" s="1">
        <v>363480</v>
      </c>
      <c r="U5" s="1">
        <v>234925</v>
      </c>
      <c r="V5" s="1">
        <v>7392</v>
      </c>
      <c r="W5" s="1">
        <v>1097020</v>
      </c>
      <c r="X5" s="1">
        <v>346462</v>
      </c>
      <c r="Y5" s="1">
        <v>235713</v>
      </c>
      <c r="Z5" s="1">
        <v>5094</v>
      </c>
      <c r="AA5" s="1">
        <v>1073778</v>
      </c>
      <c r="AB5" s="1">
        <v>343723</v>
      </c>
      <c r="AC5" s="1">
        <v>215238</v>
      </c>
      <c r="AD5" s="1">
        <v>-706</v>
      </c>
      <c r="AE5" s="1">
        <v>1048401</v>
      </c>
      <c r="AF5" s="1">
        <v>343074</v>
      </c>
      <c r="AG5" s="1">
        <v>232671</v>
      </c>
      <c r="AH5" s="1">
        <v>3582</v>
      </c>
      <c r="AI5" s="1">
        <f t="shared" si="0"/>
        <v>16558.098591549297</v>
      </c>
      <c r="AJ5" s="1">
        <f t="shared" si="1"/>
        <v>16558</v>
      </c>
      <c r="AK5" s="8">
        <f t="shared" si="2"/>
        <v>-5.9542796385647634E-6</v>
      </c>
      <c r="AL5" s="9">
        <f t="shared" si="3"/>
        <v>944132</v>
      </c>
      <c r="AM5" s="8">
        <f t="shared" si="4"/>
        <v>9.1697896347139096E-2</v>
      </c>
      <c r="AN5" s="9">
        <f t="shared" si="5"/>
        <v>23018.666666666668</v>
      </c>
      <c r="AO5" s="8">
        <f t="shared" si="6"/>
        <v>0.8465158564629125</v>
      </c>
      <c r="AP5" s="8">
        <f t="shared" ref="AP5:AP68" si="8">AN5/AI5-1</f>
        <v>0.39017572213361684</v>
      </c>
      <c r="AQ5" s="10" t="s">
        <v>668</v>
      </c>
      <c r="AR5" t="s">
        <v>670</v>
      </c>
      <c r="AS5" t="s">
        <v>671</v>
      </c>
      <c r="AT5">
        <v>15.68</v>
      </c>
      <c r="AU5">
        <v>59.78</v>
      </c>
      <c r="AV5">
        <v>65.33</v>
      </c>
    </row>
    <row r="6" spans="1:48" x14ac:dyDescent="0.2">
      <c r="A6" t="s">
        <v>183</v>
      </c>
      <c r="B6">
        <v>1180595</v>
      </c>
      <c r="C6" s="1">
        <v>774.8</v>
      </c>
      <c r="D6" s="1">
        <v>434193</v>
      </c>
      <c r="E6" s="2" t="s">
        <v>184</v>
      </c>
      <c r="F6" s="8">
        <f t="shared" si="7"/>
        <v>0.88504873113479743</v>
      </c>
      <c r="G6" s="1">
        <v>256442.46</v>
      </c>
      <c r="H6" s="1">
        <v>242598.44</v>
      </c>
      <c r="I6" s="1">
        <v>57567.9</v>
      </c>
      <c r="J6" s="1">
        <v>10558.07</v>
      </c>
      <c r="K6" s="1">
        <v>252359.41</v>
      </c>
      <c r="L6" s="1">
        <v>239291.33</v>
      </c>
      <c r="M6" s="1">
        <v>75992.91</v>
      </c>
      <c r="N6" s="1">
        <v>16354.14</v>
      </c>
      <c r="O6" s="1">
        <v>251765.12</v>
      </c>
      <c r="P6" s="1">
        <v>222824.4</v>
      </c>
      <c r="Q6" s="1">
        <v>39232.300000000003</v>
      </c>
      <c r="R6" s="1">
        <v>9068.36</v>
      </c>
      <c r="S6" s="1">
        <v>233561.58</v>
      </c>
      <c r="T6" s="1">
        <v>222447.47</v>
      </c>
      <c r="U6" s="1">
        <v>9259.51</v>
      </c>
      <c r="V6" s="1">
        <v>4043.03</v>
      </c>
      <c r="W6" s="1">
        <v>265394.55</v>
      </c>
      <c r="X6" s="1">
        <v>240606.65</v>
      </c>
      <c r="Y6" s="1">
        <v>12347.48</v>
      </c>
      <c r="Z6" s="1">
        <v>635.78</v>
      </c>
      <c r="AA6" s="1">
        <v>256442.46</v>
      </c>
      <c r="AB6" s="1">
        <v>242598.44</v>
      </c>
      <c r="AC6" s="1">
        <v>16261.97</v>
      </c>
      <c r="AD6" s="1">
        <v>-142.22999999999999</v>
      </c>
      <c r="AE6" s="1">
        <v>256924.92</v>
      </c>
      <c r="AF6" s="1">
        <v>246625.96</v>
      </c>
      <c r="AG6" s="1">
        <v>10770.13</v>
      </c>
      <c r="AH6" s="1">
        <v>2370.69</v>
      </c>
      <c r="AI6" s="1">
        <f t="shared" si="0"/>
        <v>13606.800376057663</v>
      </c>
      <c r="AJ6" s="1">
        <f t="shared" si="1"/>
        <v>13604.940000000002</v>
      </c>
      <c r="AK6" s="8">
        <f t="shared" si="2"/>
        <v>-1.3672399140463032E-4</v>
      </c>
      <c r="AL6" s="9">
        <f t="shared" si="3"/>
        <v>81119.05333333333</v>
      </c>
      <c r="AM6" s="8">
        <f t="shared" si="4"/>
        <v>0.40910217905001445</v>
      </c>
      <c r="AN6" s="9">
        <f t="shared" si="5"/>
        <v>18329.560000000001</v>
      </c>
      <c r="AO6" s="8">
        <f t="shared" si="6"/>
        <v>0.73607108117297981</v>
      </c>
      <c r="AP6" s="8">
        <f t="shared" si="8"/>
        <v>0.34708818336546199</v>
      </c>
      <c r="AQ6" s="11"/>
      <c r="AR6" t="s">
        <v>672</v>
      </c>
      <c r="AS6" t="s">
        <v>673</v>
      </c>
      <c r="AT6">
        <v>6.47</v>
      </c>
      <c r="AU6">
        <v>12.66</v>
      </c>
      <c r="AV6">
        <v>-16.559999999999999</v>
      </c>
    </row>
    <row r="7" spans="1:48" x14ac:dyDescent="0.2">
      <c r="A7" t="s">
        <v>356</v>
      </c>
      <c r="B7">
        <v>704015</v>
      </c>
      <c r="C7" s="1">
        <v>7245</v>
      </c>
      <c r="D7" s="1">
        <v>818001</v>
      </c>
      <c r="E7" s="2" t="s">
        <v>357</v>
      </c>
      <c r="F7" s="12">
        <f t="shared" si="7"/>
        <v>5.6373282602550673E-2</v>
      </c>
      <c r="G7" s="1">
        <v>22409839</v>
      </c>
      <c r="H7" s="1">
        <v>1122323</v>
      </c>
      <c r="I7" s="1">
        <v>836557</v>
      </c>
      <c r="J7" s="1">
        <v>124226</v>
      </c>
      <c r="K7" s="1">
        <v>21850997</v>
      </c>
      <c r="L7" s="1">
        <v>1001918</v>
      </c>
      <c r="M7" s="1">
        <v>760583</v>
      </c>
      <c r="N7" s="1">
        <v>103294</v>
      </c>
      <c r="O7" s="1">
        <v>22365382</v>
      </c>
      <c r="P7" s="1">
        <v>1260810</v>
      </c>
      <c r="R7" s="1">
        <v>48196</v>
      </c>
      <c r="S7" s="1">
        <v>21884027</v>
      </c>
      <c r="T7" s="1">
        <v>1216251</v>
      </c>
      <c r="U7" s="1">
        <v>265178</v>
      </c>
      <c r="V7" s="1">
        <v>53885</v>
      </c>
      <c r="W7" s="1">
        <v>22627892</v>
      </c>
      <c r="X7" s="1">
        <v>1154683</v>
      </c>
      <c r="Y7" s="1">
        <v>225112</v>
      </c>
      <c r="Z7" s="1">
        <v>36774</v>
      </c>
      <c r="AA7" s="1">
        <v>22409839</v>
      </c>
      <c r="AB7" s="1">
        <v>1122323</v>
      </c>
      <c r="AC7" s="1">
        <v>205092</v>
      </c>
      <c r="AD7" s="1">
        <v>16482</v>
      </c>
      <c r="AE7" s="1">
        <v>22389201</v>
      </c>
      <c r="AF7" s="1">
        <v>1099885</v>
      </c>
      <c r="AG7" s="1">
        <v>214267</v>
      </c>
      <c r="AH7" s="1">
        <v>36338</v>
      </c>
      <c r="AI7" s="1">
        <f t="shared" si="0"/>
        <v>139115.81632653062</v>
      </c>
      <c r="AJ7" s="1">
        <f t="shared" si="1"/>
        <v>155337</v>
      </c>
      <c r="AK7" s="8">
        <f t="shared" si="2"/>
        <v>0.11660200904399876</v>
      </c>
      <c r="AL7" s="9">
        <f t="shared" si="3"/>
        <v>653720</v>
      </c>
      <c r="AM7" s="8">
        <f t="shared" si="4"/>
        <v>-0.21855892664815424</v>
      </c>
      <c r="AN7" s="9">
        <f t="shared" si="5"/>
        <v>185140</v>
      </c>
      <c r="AO7" s="8">
        <f t="shared" si="6"/>
        <v>0.4903482362790399</v>
      </c>
      <c r="AP7" s="8">
        <f t="shared" si="8"/>
        <v>0.33083358088804293</v>
      </c>
      <c r="AT7">
        <v>-7.12</v>
      </c>
      <c r="AU7">
        <v>14.57</v>
      </c>
      <c r="AV7">
        <v>82.87</v>
      </c>
    </row>
    <row r="8" spans="1:48" x14ac:dyDescent="0.2">
      <c r="A8" t="s">
        <v>52</v>
      </c>
      <c r="B8">
        <v>1139617</v>
      </c>
      <c r="C8" s="1">
        <v>541.6</v>
      </c>
      <c r="D8" s="1">
        <v>297942</v>
      </c>
      <c r="E8" s="2" t="s">
        <v>53</v>
      </c>
      <c r="F8" s="8">
        <f t="shared" si="7"/>
        <v>0.32101956369610857</v>
      </c>
      <c r="G8" s="1">
        <v>672884</v>
      </c>
      <c r="H8" s="1">
        <v>197227</v>
      </c>
      <c r="I8" s="1">
        <v>326018</v>
      </c>
      <c r="J8" s="1">
        <v>11354</v>
      </c>
      <c r="K8" s="1">
        <v>691638</v>
      </c>
      <c r="L8" s="1">
        <v>186760</v>
      </c>
      <c r="M8" s="1">
        <v>341185</v>
      </c>
      <c r="N8" s="1">
        <v>-27647</v>
      </c>
      <c r="O8" s="1">
        <v>657340</v>
      </c>
      <c r="P8" s="1">
        <v>211019</v>
      </c>
      <c r="Q8" s="1">
        <v>98439</v>
      </c>
      <c r="R8" s="1">
        <v>7916</v>
      </c>
      <c r="S8" s="1">
        <v>654166</v>
      </c>
      <c r="T8" s="1">
        <v>208860</v>
      </c>
      <c r="U8" s="1">
        <v>89040</v>
      </c>
      <c r="V8" s="1">
        <v>4937</v>
      </c>
      <c r="W8" s="1">
        <v>665588</v>
      </c>
      <c r="X8" s="1">
        <v>203898</v>
      </c>
      <c r="Y8" s="1">
        <v>90396</v>
      </c>
      <c r="Z8" s="1">
        <v>6632</v>
      </c>
      <c r="AA8" s="1">
        <v>672884</v>
      </c>
      <c r="AB8" s="1">
        <v>197227</v>
      </c>
      <c r="AC8" s="1">
        <v>90940</v>
      </c>
      <c r="AD8" s="1">
        <v>443</v>
      </c>
      <c r="AE8" s="1">
        <v>684429</v>
      </c>
      <c r="AF8" s="1">
        <v>198762</v>
      </c>
      <c r="AG8" s="1">
        <v>86216</v>
      </c>
      <c r="AH8" s="1">
        <v>5290</v>
      </c>
      <c r="AI8" s="1">
        <f t="shared" si="0"/>
        <v>19862.8</v>
      </c>
      <c r="AJ8" s="1">
        <f t="shared" si="1"/>
        <v>19928</v>
      </c>
      <c r="AK8" s="8">
        <f t="shared" si="2"/>
        <v>3.2825180739874948E-3</v>
      </c>
      <c r="AL8" s="9">
        <f t="shared" si="3"/>
        <v>370500</v>
      </c>
      <c r="AM8" s="8">
        <f t="shared" si="4"/>
        <v>0.1364403192461765</v>
      </c>
      <c r="AN8" s="9">
        <f t="shared" si="5"/>
        <v>25980</v>
      </c>
      <c r="AO8" s="8">
        <f t="shared" si="6"/>
        <v>1.2881803769596618</v>
      </c>
      <c r="AP8" s="8">
        <f t="shared" si="8"/>
        <v>0.30797269267172811</v>
      </c>
      <c r="AQ8" s="11" t="s">
        <v>668</v>
      </c>
      <c r="AS8" t="s">
        <v>674</v>
      </c>
      <c r="AT8">
        <v>21.9</v>
      </c>
      <c r="AU8">
        <v>47.61</v>
      </c>
      <c r="AV8">
        <v>7.06</v>
      </c>
    </row>
    <row r="9" spans="1:48" x14ac:dyDescent="0.2">
      <c r="A9" t="s">
        <v>247</v>
      </c>
      <c r="B9">
        <v>1141316</v>
      </c>
      <c r="C9" s="1">
        <v>80.599999999999994</v>
      </c>
      <c r="D9" s="1">
        <v>130620</v>
      </c>
      <c r="E9" s="2" t="s">
        <v>248</v>
      </c>
      <c r="F9" s="8">
        <f t="shared" si="7"/>
        <v>0.55101331037358825</v>
      </c>
      <c r="G9" s="1">
        <v>448460.66</v>
      </c>
      <c r="H9" s="1">
        <v>204330.47</v>
      </c>
      <c r="I9" s="1">
        <v>36860.230000000003</v>
      </c>
      <c r="J9" s="1">
        <v>22578.58</v>
      </c>
      <c r="K9" s="1">
        <v>521976.09</v>
      </c>
      <c r="L9" s="1">
        <v>180436</v>
      </c>
      <c r="M9" s="1">
        <v>36534.769999999997</v>
      </c>
      <c r="N9" s="1">
        <v>-7681.99</v>
      </c>
      <c r="O9" s="1">
        <v>361653.26</v>
      </c>
      <c r="P9" s="1">
        <v>199275.76</v>
      </c>
      <c r="Q9" s="1">
        <v>5742.52</v>
      </c>
      <c r="R9" s="1">
        <v>1778.63</v>
      </c>
      <c r="S9" s="1">
        <v>367612.07</v>
      </c>
      <c r="T9" s="1">
        <v>201439.91</v>
      </c>
      <c r="U9" s="1">
        <v>6905.86</v>
      </c>
      <c r="V9" s="1">
        <v>11323.18</v>
      </c>
      <c r="W9" s="1">
        <v>453521.63</v>
      </c>
      <c r="X9" s="1">
        <v>209624.55</v>
      </c>
      <c r="Y9" s="1">
        <v>9395.39</v>
      </c>
      <c r="Z9" s="1">
        <v>1316.17</v>
      </c>
      <c r="AA9" s="1">
        <v>448460.66</v>
      </c>
      <c r="AB9" s="1">
        <v>204330.47</v>
      </c>
      <c r="AC9" s="1">
        <v>9215.9699999999993</v>
      </c>
      <c r="AD9" s="1">
        <v>565.29</v>
      </c>
      <c r="AE9" s="1">
        <v>463716.61</v>
      </c>
      <c r="AF9" s="1">
        <v>207285.12</v>
      </c>
      <c r="AG9" s="1">
        <v>9371.4599999999991</v>
      </c>
      <c r="AH9" s="1">
        <v>12079.76</v>
      </c>
      <c r="AI9" s="1">
        <f t="shared" si="0"/>
        <v>14979.357798165136</v>
      </c>
      <c r="AJ9" s="1">
        <f t="shared" si="1"/>
        <v>14983.27</v>
      </c>
      <c r="AK9" s="8">
        <f t="shared" si="2"/>
        <v>2.6117286786120353E-4</v>
      </c>
      <c r="AL9" s="9">
        <f t="shared" si="3"/>
        <v>29391.693333333333</v>
      </c>
      <c r="AM9" s="8">
        <f t="shared" si="4"/>
        <v>-0.20261774456281656</v>
      </c>
      <c r="AN9" s="9">
        <f t="shared" si="5"/>
        <v>19223.973333333332</v>
      </c>
      <c r="AO9" s="8">
        <f t="shared" si="6"/>
        <v>-0.14857474060222875</v>
      </c>
      <c r="AP9" s="8">
        <f t="shared" si="8"/>
        <v>0.28336431991017208</v>
      </c>
      <c r="AT9">
        <v>-5.62</v>
      </c>
      <c r="AU9">
        <v>15.14</v>
      </c>
      <c r="AV9">
        <v>44.15</v>
      </c>
    </row>
    <row r="10" spans="1:48" x14ac:dyDescent="0.2">
      <c r="A10" t="s">
        <v>555</v>
      </c>
      <c r="B10">
        <v>1175496</v>
      </c>
      <c r="C10" s="1">
        <v>1451</v>
      </c>
      <c r="D10" s="1">
        <v>211154</v>
      </c>
      <c r="E10" s="2" t="s">
        <v>556</v>
      </c>
      <c r="F10" s="8">
        <f t="shared" si="7"/>
        <v>0.66126277518424137</v>
      </c>
      <c r="G10" s="1">
        <v>275942</v>
      </c>
      <c r="H10" s="1">
        <v>176732</v>
      </c>
      <c r="I10" s="1">
        <v>302307</v>
      </c>
      <c r="J10" s="1">
        <v>26429</v>
      </c>
      <c r="K10" s="1">
        <v>296143</v>
      </c>
      <c r="L10" s="1">
        <v>169933</v>
      </c>
      <c r="M10" s="1">
        <v>311958</v>
      </c>
      <c r="N10" s="1">
        <v>25154</v>
      </c>
      <c r="O10" s="1">
        <v>254693</v>
      </c>
      <c r="P10" s="1">
        <v>168419</v>
      </c>
      <c r="Q10" s="1">
        <v>68537</v>
      </c>
      <c r="R10" s="1">
        <v>6053</v>
      </c>
      <c r="S10" s="1">
        <v>267968</v>
      </c>
      <c r="T10" s="1">
        <v>172268</v>
      </c>
      <c r="U10" s="1">
        <v>70203</v>
      </c>
      <c r="V10" s="1">
        <v>4983</v>
      </c>
      <c r="W10" s="1">
        <v>267169</v>
      </c>
      <c r="X10" s="1">
        <v>167084</v>
      </c>
      <c r="Y10" s="1">
        <v>64139</v>
      </c>
      <c r="Z10" s="1">
        <v>5357</v>
      </c>
      <c r="AA10" s="1">
        <v>275942</v>
      </c>
      <c r="AB10" s="1">
        <v>176732</v>
      </c>
      <c r="AC10" s="1">
        <v>78393</v>
      </c>
      <c r="AD10" s="1">
        <v>968</v>
      </c>
      <c r="AE10" s="1">
        <v>279879</v>
      </c>
      <c r="AF10" s="1">
        <v>195806</v>
      </c>
      <c r="AG10" s="1">
        <v>76213</v>
      </c>
      <c r="AH10" s="1">
        <v>2163</v>
      </c>
      <c r="AI10" s="1">
        <f t="shared" si="0"/>
        <v>17237.061224489797</v>
      </c>
      <c r="AJ10" s="1">
        <f t="shared" si="1"/>
        <v>17361</v>
      </c>
      <c r="AK10" s="8">
        <f t="shared" si="2"/>
        <v>7.1902497703097978E-3</v>
      </c>
      <c r="AL10" s="9">
        <f t="shared" si="3"/>
        <v>270505.33333333331</v>
      </c>
      <c r="AM10" s="8">
        <f t="shared" si="4"/>
        <v>-0.10519659374962098</v>
      </c>
      <c r="AN10" s="9">
        <f t="shared" si="5"/>
        <v>21857.333333333332</v>
      </c>
      <c r="AO10" s="8">
        <f t="shared" si="6"/>
        <v>-0.17297917691424824</v>
      </c>
      <c r="AP10" s="8">
        <f t="shared" si="8"/>
        <v>0.26804291338706965</v>
      </c>
      <c r="AT10">
        <v>5.77</v>
      </c>
      <c r="AU10">
        <v>15.15</v>
      </c>
      <c r="AV10">
        <v>35.49</v>
      </c>
    </row>
    <row r="11" spans="1:48" x14ac:dyDescent="0.2">
      <c r="A11" t="s">
        <v>509</v>
      </c>
      <c r="B11">
        <v>625012</v>
      </c>
      <c r="C11" s="1">
        <v>2953</v>
      </c>
      <c r="D11" s="1">
        <v>550661</v>
      </c>
      <c r="E11" s="2" t="s">
        <v>510</v>
      </c>
      <c r="F11" s="8">
        <f t="shared" si="7"/>
        <v>0.30319889187860227</v>
      </c>
      <c r="G11" s="1">
        <v>1509956</v>
      </c>
      <c r="H11" s="1">
        <v>426675</v>
      </c>
      <c r="I11" s="1">
        <v>1719768</v>
      </c>
      <c r="J11" s="1">
        <v>44885</v>
      </c>
      <c r="K11" s="1">
        <v>1582603</v>
      </c>
      <c r="L11" s="1">
        <v>394079</v>
      </c>
      <c r="M11" s="1">
        <v>1710479</v>
      </c>
      <c r="N11" s="1">
        <v>30227</v>
      </c>
      <c r="O11" s="1">
        <v>1533406</v>
      </c>
      <c r="P11" s="1">
        <v>464927</v>
      </c>
      <c r="Q11" s="1">
        <v>459856</v>
      </c>
      <c r="R11" s="1">
        <v>17097</v>
      </c>
      <c r="S11" s="1">
        <v>1544523</v>
      </c>
      <c r="T11" s="1">
        <v>470308</v>
      </c>
      <c r="U11" s="1">
        <v>462323</v>
      </c>
      <c r="V11" s="1">
        <v>24175</v>
      </c>
      <c r="W11" s="1">
        <v>1562881</v>
      </c>
      <c r="X11" s="1">
        <v>448918</v>
      </c>
      <c r="Y11" s="1">
        <v>422146</v>
      </c>
      <c r="Z11" s="1">
        <v>10922</v>
      </c>
      <c r="AA11" s="1">
        <v>1509956</v>
      </c>
      <c r="AB11" s="1">
        <v>426675</v>
      </c>
      <c r="AC11" s="1">
        <v>412297</v>
      </c>
      <c r="AD11" s="1">
        <v>4014</v>
      </c>
      <c r="AE11" s="1">
        <v>1574405</v>
      </c>
      <c r="AF11" s="1">
        <v>445182</v>
      </c>
      <c r="AG11" s="1">
        <v>451232</v>
      </c>
      <c r="AH11" s="1">
        <v>12118</v>
      </c>
      <c r="AI11" s="1">
        <f t="shared" si="0"/>
        <v>56189.897959183669</v>
      </c>
      <c r="AJ11" s="1">
        <f t="shared" si="1"/>
        <v>56208</v>
      </c>
      <c r="AK11" s="8">
        <f t="shared" si="2"/>
        <v>3.221582788686117E-4</v>
      </c>
      <c r="AL11" s="9">
        <f t="shared" si="3"/>
        <v>1792433.3333333333</v>
      </c>
      <c r="AM11" s="8">
        <f t="shared" si="4"/>
        <v>4.2252986061685815E-2</v>
      </c>
      <c r="AN11" s="9">
        <f t="shared" si="5"/>
        <v>69592</v>
      </c>
      <c r="AO11" s="8">
        <f t="shared" si="6"/>
        <v>0.55045115294641866</v>
      </c>
      <c r="AP11" s="8">
        <f t="shared" si="8"/>
        <v>0.2385144399185708</v>
      </c>
      <c r="AQ11" s="11"/>
      <c r="AR11" t="s">
        <v>675</v>
      </c>
      <c r="AS11" t="s">
        <v>676</v>
      </c>
      <c r="AT11">
        <v>24.9</v>
      </c>
      <c r="AU11">
        <v>67.13</v>
      </c>
      <c r="AV11">
        <v>295.02999999999997</v>
      </c>
    </row>
    <row r="12" spans="1:48" x14ac:dyDescent="0.2">
      <c r="A12" t="s">
        <v>608</v>
      </c>
      <c r="B12">
        <v>1171529</v>
      </c>
      <c r="C12" s="1">
        <v>3603</v>
      </c>
      <c r="D12" s="1">
        <v>548076</v>
      </c>
      <c r="E12" s="2" t="s">
        <v>609</v>
      </c>
      <c r="F12" s="8">
        <f t="shared" si="7"/>
        <v>0.31122853922466165</v>
      </c>
      <c r="G12" s="1">
        <v>817843</v>
      </c>
      <c r="H12" s="1">
        <v>255733</v>
      </c>
      <c r="I12" s="1">
        <v>417901</v>
      </c>
      <c r="J12" s="1">
        <v>61970</v>
      </c>
      <c r="K12" s="1">
        <v>628567</v>
      </c>
      <c r="L12" s="1">
        <v>202883</v>
      </c>
      <c r="M12" s="1">
        <v>280838</v>
      </c>
      <c r="N12" s="1">
        <v>58690</v>
      </c>
      <c r="O12" s="1">
        <v>1001653</v>
      </c>
      <c r="P12" s="1">
        <v>311743</v>
      </c>
      <c r="Q12" s="1">
        <v>75312</v>
      </c>
      <c r="R12" s="1">
        <v>8454</v>
      </c>
      <c r="S12" s="1">
        <v>1051186</v>
      </c>
      <c r="T12" s="1">
        <v>302502</v>
      </c>
      <c r="U12" s="1">
        <v>71100</v>
      </c>
      <c r="V12" s="1">
        <v>11285</v>
      </c>
      <c r="W12" s="1">
        <v>986819</v>
      </c>
      <c r="X12" s="1">
        <v>306013</v>
      </c>
      <c r="Y12" s="1">
        <v>87937</v>
      </c>
      <c r="Z12" s="1">
        <v>49967</v>
      </c>
      <c r="AA12" s="1">
        <v>817843</v>
      </c>
      <c r="AB12" s="1">
        <v>255733</v>
      </c>
      <c r="AC12" s="1">
        <v>83574</v>
      </c>
      <c r="AD12" s="1">
        <v>12056</v>
      </c>
      <c r="AE12" s="1">
        <v>769024</v>
      </c>
      <c r="AF12" s="1">
        <v>243105</v>
      </c>
      <c r="AG12" s="1">
        <v>92024</v>
      </c>
      <c r="AH12" s="1">
        <v>11321</v>
      </c>
      <c r="AI12" s="1">
        <f t="shared" si="0"/>
        <v>75910.803324099732</v>
      </c>
      <c r="AJ12" s="1">
        <f t="shared" si="1"/>
        <v>81762</v>
      </c>
      <c r="AK12" s="8">
        <f t="shared" si="2"/>
        <v>7.707989402929516E-2</v>
      </c>
      <c r="AL12" s="9">
        <f t="shared" si="3"/>
        <v>312465.33333333331</v>
      </c>
      <c r="AM12" s="8">
        <f t="shared" si="4"/>
        <v>-0.25229819183650359</v>
      </c>
      <c r="AN12" s="9">
        <f t="shared" si="5"/>
        <v>92941.333333333328</v>
      </c>
      <c r="AO12" s="8">
        <f t="shared" si="6"/>
        <v>0.499779463181109</v>
      </c>
      <c r="AP12" s="8">
        <f t="shared" si="8"/>
        <v>0.2243492265062994</v>
      </c>
      <c r="AT12">
        <v>14.64</v>
      </c>
      <c r="AU12">
        <v>11.97</v>
      </c>
      <c r="AV12">
        <v>197.16</v>
      </c>
    </row>
    <row r="13" spans="1:48" x14ac:dyDescent="0.2">
      <c r="A13" t="s">
        <v>308</v>
      </c>
      <c r="B13">
        <v>351015</v>
      </c>
      <c r="C13" s="1">
        <v>4720</v>
      </c>
      <c r="D13" s="1">
        <v>580112</v>
      </c>
      <c r="E13" s="2" t="s">
        <v>309</v>
      </c>
      <c r="F13" s="8">
        <f t="shared" si="7"/>
        <v>0.54382465249766543</v>
      </c>
      <c r="G13" s="1">
        <v>1274051</v>
      </c>
      <c r="H13" s="1">
        <v>743394</v>
      </c>
      <c r="I13" s="1">
        <v>2059650</v>
      </c>
      <c r="J13" s="1">
        <v>69072</v>
      </c>
      <c r="K13" s="1">
        <v>1234740</v>
      </c>
      <c r="L13" s="1">
        <v>675747</v>
      </c>
      <c r="M13" s="1">
        <v>1754200</v>
      </c>
      <c r="N13" s="1">
        <v>26986</v>
      </c>
      <c r="O13" s="1">
        <v>1431717</v>
      </c>
      <c r="P13" s="1">
        <v>778603</v>
      </c>
      <c r="Q13" s="1">
        <v>1387380</v>
      </c>
      <c r="R13" s="1">
        <v>35032</v>
      </c>
      <c r="S13" s="1">
        <v>1354310</v>
      </c>
      <c r="T13" s="1">
        <v>778603</v>
      </c>
      <c r="U13" s="1">
        <v>398636</v>
      </c>
      <c r="V13" s="1">
        <v>12646</v>
      </c>
      <c r="W13" s="1">
        <v>1284683</v>
      </c>
      <c r="X13" s="1">
        <v>767142</v>
      </c>
      <c r="Y13" s="1">
        <v>508485</v>
      </c>
      <c r="Z13" s="1">
        <v>21611</v>
      </c>
      <c r="AA13" s="1">
        <v>1274051</v>
      </c>
      <c r="AB13" s="1">
        <v>743394</v>
      </c>
      <c r="AC13" s="1">
        <v>518298</v>
      </c>
      <c r="AD13" s="1">
        <v>6752</v>
      </c>
      <c r="AE13" s="1">
        <v>1224419</v>
      </c>
      <c r="AF13" s="1">
        <v>739872</v>
      </c>
      <c r="AG13" s="1">
        <v>643932</v>
      </c>
      <c r="AH13" s="1">
        <v>38792</v>
      </c>
      <c r="AI13" s="1">
        <f t="shared" si="0"/>
        <v>75633.898305084746</v>
      </c>
      <c r="AJ13" s="1">
        <f t="shared" si="1"/>
        <v>76041</v>
      </c>
      <c r="AK13" s="8">
        <f t="shared" si="2"/>
        <v>5.3825295804947881E-3</v>
      </c>
      <c r="AL13" s="9">
        <f t="shared" si="3"/>
        <v>3059334.6666666665</v>
      </c>
      <c r="AM13" s="8">
        <f t="shared" si="4"/>
        <v>0.48536628391555192</v>
      </c>
      <c r="AN13" s="9">
        <f t="shared" si="5"/>
        <v>92385.333333333328</v>
      </c>
      <c r="AO13" s="8">
        <f t="shared" si="6"/>
        <v>0.33752219905798775</v>
      </c>
      <c r="AP13" s="8">
        <f t="shared" si="8"/>
        <v>0.22148051870443397</v>
      </c>
      <c r="AQ13" s="10" t="s">
        <v>668</v>
      </c>
      <c r="AR13" t="s">
        <v>677</v>
      </c>
      <c r="AT13">
        <v>-15.34</v>
      </c>
      <c r="AU13">
        <v>15.3</v>
      </c>
      <c r="AV13">
        <v>-3.51</v>
      </c>
    </row>
    <row r="14" spans="1:48" x14ac:dyDescent="0.2">
      <c r="A14" t="s">
        <v>542</v>
      </c>
      <c r="B14">
        <v>1081603</v>
      </c>
      <c r="C14" s="1">
        <v>20290</v>
      </c>
      <c r="D14" s="1">
        <v>1937280</v>
      </c>
      <c r="E14" s="2" t="s">
        <v>543</v>
      </c>
      <c r="F14" s="8">
        <f t="shared" si="7"/>
        <v>0.53677745570821367</v>
      </c>
      <c r="G14" s="1">
        <v>2211349</v>
      </c>
      <c r="H14" s="1">
        <v>1140977</v>
      </c>
      <c r="I14" s="1">
        <v>1706884</v>
      </c>
      <c r="J14" s="1">
        <v>143791</v>
      </c>
      <c r="K14" s="1">
        <v>2173903</v>
      </c>
      <c r="L14" s="1">
        <v>1108694</v>
      </c>
      <c r="M14" s="1">
        <v>1644861</v>
      </c>
      <c r="N14" s="1">
        <v>129110</v>
      </c>
      <c r="O14" s="1">
        <v>2307990</v>
      </c>
      <c r="P14" s="1">
        <v>1238877</v>
      </c>
      <c r="Q14" s="1">
        <v>477235</v>
      </c>
      <c r="R14" s="1">
        <v>51515</v>
      </c>
      <c r="S14" s="1">
        <v>2323208</v>
      </c>
      <c r="T14" s="1">
        <v>1224151</v>
      </c>
      <c r="U14" s="1">
        <v>482670</v>
      </c>
      <c r="V14" s="1">
        <v>45659</v>
      </c>
      <c r="W14" s="1">
        <v>2336421</v>
      </c>
      <c r="X14" s="1">
        <v>1202208</v>
      </c>
      <c r="Y14" s="1">
        <v>450619</v>
      </c>
      <c r="Z14" s="1">
        <v>41205</v>
      </c>
      <c r="AA14" s="1">
        <v>2211349</v>
      </c>
      <c r="AB14" s="1">
        <v>1140977</v>
      </c>
      <c r="AC14" s="1">
        <v>419264</v>
      </c>
      <c r="AD14" s="1">
        <v>14262</v>
      </c>
      <c r="AE14" s="1">
        <v>2284900</v>
      </c>
      <c r="AF14" s="1">
        <v>1197331</v>
      </c>
      <c r="AG14" s="1">
        <v>434007</v>
      </c>
      <c r="AH14" s="1">
        <v>48996</v>
      </c>
      <c r="AI14" s="1">
        <f t="shared" si="0"/>
        <v>152661.93853427898</v>
      </c>
      <c r="AJ14" s="1">
        <f t="shared" si="1"/>
        <v>152641</v>
      </c>
      <c r="AK14" s="8">
        <f t="shared" si="2"/>
        <v>-1.3715621902887776E-4</v>
      </c>
      <c r="AL14" s="9">
        <f t="shared" si="3"/>
        <v>1880698.6666666667</v>
      </c>
      <c r="AM14" s="8">
        <f t="shared" si="4"/>
        <v>0.10183156363681811</v>
      </c>
      <c r="AN14" s="9">
        <f t="shared" si="5"/>
        <v>184505.33333333334</v>
      </c>
      <c r="AO14" s="8">
        <f t="shared" si="6"/>
        <v>0.28314938579836957</v>
      </c>
      <c r="AP14" s="8">
        <f t="shared" si="8"/>
        <v>0.20858764866204149</v>
      </c>
      <c r="AQ14" s="10" t="s">
        <v>668</v>
      </c>
      <c r="AS14" t="s">
        <v>671</v>
      </c>
      <c r="AT14">
        <v>1.77</v>
      </c>
      <c r="AU14">
        <v>36</v>
      </c>
      <c r="AV14">
        <v>40.22</v>
      </c>
    </row>
    <row r="15" spans="1:48" x14ac:dyDescent="0.2">
      <c r="A15" t="s">
        <v>401</v>
      </c>
      <c r="B15">
        <v>1216605</v>
      </c>
      <c r="C15" s="1">
        <v>804.9</v>
      </c>
      <c r="D15" s="1">
        <v>1047711</v>
      </c>
      <c r="E15" s="2" t="s">
        <v>402</v>
      </c>
      <c r="F15" s="8">
        <f t="shared" si="7"/>
        <v>0.36846980263335039</v>
      </c>
      <c r="G15" s="1">
        <v>908680</v>
      </c>
      <c r="H15" s="1">
        <v>254862</v>
      </c>
      <c r="I15" s="1">
        <v>176453</v>
      </c>
      <c r="J15" s="1">
        <v>15348</v>
      </c>
      <c r="K15" s="1">
        <v>742607</v>
      </c>
      <c r="L15" s="1">
        <v>239514</v>
      </c>
      <c r="M15" s="1">
        <v>207649</v>
      </c>
      <c r="N15" s="1">
        <v>29879</v>
      </c>
      <c r="O15" s="1">
        <v>1299865</v>
      </c>
      <c r="P15" s="1">
        <v>478961</v>
      </c>
      <c r="Q15" s="1">
        <v>119770</v>
      </c>
      <c r="R15" s="1">
        <v>12419</v>
      </c>
      <c r="S15" s="1">
        <v>1133059</v>
      </c>
      <c r="T15" s="1">
        <v>288092</v>
      </c>
      <c r="U15" s="1">
        <v>77417</v>
      </c>
      <c r="V15" s="1">
        <v>7707</v>
      </c>
      <c r="W15" s="1">
        <v>1117883</v>
      </c>
      <c r="X15" s="1">
        <v>287708</v>
      </c>
      <c r="Y15" s="1">
        <v>50996</v>
      </c>
      <c r="Z15" s="1">
        <v>32846</v>
      </c>
      <c r="AA15" s="1">
        <v>908680</v>
      </c>
      <c r="AB15" s="1">
        <v>254862</v>
      </c>
      <c r="AC15" s="1">
        <v>70252</v>
      </c>
      <c r="AD15" s="1">
        <v>7924</v>
      </c>
      <c r="AE15" s="1">
        <v>764534</v>
      </c>
      <c r="AF15" s="1">
        <v>246938</v>
      </c>
      <c r="AG15" s="1">
        <v>44627</v>
      </c>
      <c r="AH15" s="1">
        <v>3463</v>
      </c>
      <c r="AI15" s="1">
        <f t="shared" si="0"/>
        <v>58466.015624999993</v>
      </c>
      <c r="AJ15" s="1">
        <f t="shared" si="1"/>
        <v>60896</v>
      </c>
      <c r="AK15" s="8">
        <f t="shared" si="2"/>
        <v>4.1562339232861012E-2</v>
      </c>
      <c r="AL15" s="9">
        <f t="shared" si="3"/>
        <v>330910.66666666669</v>
      </c>
      <c r="AM15" s="8">
        <f t="shared" si="4"/>
        <v>0.87534735406406616</v>
      </c>
      <c r="AN15" s="9">
        <f t="shared" si="5"/>
        <v>70629.333333333328</v>
      </c>
      <c r="AO15" s="8">
        <f t="shared" si="6"/>
        <v>3.6018590913039699</v>
      </c>
      <c r="AP15" s="8">
        <f t="shared" si="8"/>
        <v>0.20804081787184958</v>
      </c>
      <c r="AQ15" s="11" t="s">
        <v>668</v>
      </c>
      <c r="AR15" t="s">
        <v>678</v>
      </c>
      <c r="AT15">
        <v>15.15</v>
      </c>
      <c r="AU15">
        <v>0</v>
      </c>
      <c r="AV15">
        <v>0</v>
      </c>
    </row>
    <row r="16" spans="1:48" x14ac:dyDescent="0.2">
      <c r="A16" t="s">
        <v>316</v>
      </c>
      <c r="B16">
        <v>384016</v>
      </c>
      <c r="C16" s="1">
        <v>1621</v>
      </c>
      <c r="D16" s="1">
        <v>593997</v>
      </c>
      <c r="E16" s="2" t="s">
        <v>317</v>
      </c>
      <c r="F16" s="8">
        <f t="shared" si="7"/>
        <v>0.36367193695415345</v>
      </c>
      <c r="G16" s="1">
        <v>1554162</v>
      </c>
      <c r="H16" s="1">
        <v>541930</v>
      </c>
      <c r="I16" s="1">
        <v>887069</v>
      </c>
      <c r="J16" s="1">
        <v>10192</v>
      </c>
      <c r="K16" s="1">
        <v>1533428</v>
      </c>
      <c r="L16" s="1">
        <v>535438</v>
      </c>
      <c r="M16" s="1">
        <v>967354</v>
      </c>
      <c r="N16" s="1">
        <v>41305</v>
      </c>
      <c r="O16" s="1">
        <v>1538436</v>
      </c>
      <c r="P16" s="1">
        <v>559486</v>
      </c>
      <c r="Q16" s="1">
        <v>260959</v>
      </c>
      <c r="R16" s="1">
        <v>20139</v>
      </c>
      <c r="S16" s="1">
        <v>1553990</v>
      </c>
      <c r="T16" s="1">
        <v>541825</v>
      </c>
      <c r="U16" s="1">
        <v>220818</v>
      </c>
      <c r="V16" s="1">
        <v>189</v>
      </c>
      <c r="W16" s="1">
        <v>1560017</v>
      </c>
      <c r="X16" s="1">
        <v>556619</v>
      </c>
      <c r="Y16" s="1">
        <v>240114</v>
      </c>
      <c r="Z16" s="1">
        <v>8825</v>
      </c>
      <c r="AA16" s="1">
        <v>1554162</v>
      </c>
      <c r="AB16" s="1">
        <v>541930</v>
      </c>
      <c r="AC16" s="1">
        <v>232672</v>
      </c>
      <c r="AD16" s="1">
        <v>3828</v>
      </c>
      <c r="AE16" s="1">
        <v>1534449</v>
      </c>
      <c r="AF16" s="1">
        <v>545238</v>
      </c>
      <c r="AG16" s="1">
        <v>248371</v>
      </c>
      <c r="AH16" s="1">
        <v>4756</v>
      </c>
      <c r="AI16" s="1">
        <f t="shared" si="0"/>
        <v>32981.510272071071</v>
      </c>
      <c r="AJ16" s="1">
        <f t="shared" si="1"/>
        <v>32981</v>
      </c>
      <c r="AK16" s="8">
        <f t="shared" si="2"/>
        <v>-1.5471458610027966E-5</v>
      </c>
      <c r="AL16" s="9">
        <f t="shared" si="3"/>
        <v>962521.33333333337</v>
      </c>
      <c r="AM16" s="8">
        <f t="shared" si="4"/>
        <v>8.5058020665059075E-2</v>
      </c>
      <c r="AN16" s="9">
        <f t="shared" si="5"/>
        <v>38870.666666666664</v>
      </c>
      <c r="AO16" s="8">
        <f t="shared" si="6"/>
        <v>2.813840920983778</v>
      </c>
      <c r="AP16" s="8">
        <f t="shared" si="8"/>
        <v>0.1785593305465627</v>
      </c>
      <c r="AQ16" s="11"/>
      <c r="AS16" t="s">
        <v>679</v>
      </c>
      <c r="AT16">
        <v>-8.27</v>
      </c>
      <c r="AU16">
        <v>-4.59</v>
      </c>
      <c r="AV16">
        <v>-47.34</v>
      </c>
    </row>
    <row r="17" spans="1:48" x14ac:dyDescent="0.2">
      <c r="A17" t="s">
        <v>358</v>
      </c>
      <c r="B17">
        <v>726018</v>
      </c>
      <c r="C17" s="1">
        <v>2255</v>
      </c>
      <c r="D17" s="1">
        <v>1590175</v>
      </c>
      <c r="E17" s="2" t="s">
        <v>359</v>
      </c>
      <c r="F17" s="12">
        <f t="shared" si="7"/>
        <v>7.0417028085014585E-2</v>
      </c>
      <c r="G17" s="1">
        <v>22389300</v>
      </c>
      <c r="H17" s="1">
        <v>1451300</v>
      </c>
      <c r="J17" s="1">
        <v>154600</v>
      </c>
      <c r="K17" s="1">
        <v>21825500</v>
      </c>
      <c r="L17" s="1">
        <v>1329200</v>
      </c>
      <c r="N17" s="1">
        <v>134600</v>
      </c>
      <c r="O17" s="1">
        <v>22250300</v>
      </c>
      <c r="P17" s="1">
        <v>1566800</v>
      </c>
      <c r="R17" s="1">
        <v>59400</v>
      </c>
      <c r="S17" s="1">
        <v>21859500</v>
      </c>
      <c r="T17" s="1">
        <v>1550800</v>
      </c>
      <c r="V17" s="1">
        <v>65100</v>
      </c>
      <c r="W17" s="1">
        <v>22607200</v>
      </c>
      <c r="X17" s="1">
        <v>1476800</v>
      </c>
      <c r="Z17" s="1">
        <v>45800</v>
      </c>
      <c r="AA17" s="1">
        <v>22389300</v>
      </c>
      <c r="AB17" s="1">
        <v>1451300</v>
      </c>
      <c r="AD17" s="1">
        <v>22600</v>
      </c>
      <c r="AE17" s="1">
        <v>22355100</v>
      </c>
      <c r="AF17" s="1">
        <v>1421800</v>
      </c>
      <c r="AH17" s="1">
        <v>45500</v>
      </c>
      <c r="AI17" s="1">
        <f t="shared" si="0"/>
        <v>192982.40291262136</v>
      </c>
      <c r="AJ17" s="1">
        <f t="shared" si="1"/>
        <v>192900</v>
      </c>
      <c r="AK17" s="8">
        <f t="shared" si="2"/>
        <v>-4.2699702862891709E-4</v>
      </c>
      <c r="AL17" s="9">
        <f t="shared" si="3"/>
        <v>0</v>
      </c>
      <c r="AM17" s="8" t="e">
        <f t="shared" si="4"/>
        <v>#DIV/0!</v>
      </c>
      <c r="AN17" s="9">
        <f t="shared" si="5"/>
        <v>227066.66666666666</v>
      </c>
      <c r="AO17" s="8">
        <f t="shared" si="6"/>
        <v>0.46873652436394986</v>
      </c>
      <c r="AP17" s="8">
        <f t="shared" si="8"/>
        <v>0.17661850634888188</v>
      </c>
      <c r="AT17">
        <v>-8.2100000000000009</v>
      </c>
      <c r="AU17">
        <v>52.98</v>
      </c>
      <c r="AV17">
        <v>102.79</v>
      </c>
    </row>
    <row r="18" spans="1:48" x14ac:dyDescent="0.2">
      <c r="A18" t="s">
        <v>456</v>
      </c>
      <c r="B18">
        <v>168013</v>
      </c>
      <c r="C18" s="1">
        <v>22600</v>
      </c>
      <c r="D18" s="1">
        <v>840633</v>
      </c>
      <c r="E18" s="2" t="s">
        <v>457</v>
      </c>
      <c r="F18" s="8">
        <f t="shared" si="7"/>
        <v>0.1804504685270823</v>
      </c>
      <c r="G18" s="1">
        <v>2073051</v>
      </c>
      <c r="H18" s="1">
        <v>354071</v>
      </c>
      <c r="I18" s="1">
        <v>4811703</v>
      </c>
      <c r="J18" s="1">
        <v>81400</v>
      </c>
      <c r="K18" s="1">
        <v>1925553</v>
      </c>
      <c r="L18" s="1">
        <v>270648</v>
      </c>
      <c r="M18" s="1">
        <v>4375583</v>
      </c>
      <c r="N18" s="1">
        <v>43033</v>
      </c>
      <c r="O18" s="1">
        <v>2531764</v>
      </c>
      <c r="P18" s="1">
        <v>456858</v>
      </c>
      <c r="Q18" s="1">
        <v>1421089</v>
      </c>
      <c r="R18" s="1">
        <v>21762</v>
      </c>
      <c r="S18" s="1">
        <v>2167743</v>
      </c>
      <c r="T18" s="1">
        <v>396948</v>
      </c>
      <c r="U18" s="1">
        <v>1222877</v>
      </c>
      <c r="V18" s="1">
        <v>20918</v>
      </c>
      <c r="W18" s="1">
        <v>2269411</v>
      </c>
      <c r="X18" s="1">
        <v>377819</v>
      </c>
      <c r="Y18" s="1">
        <v>1300071</v>
      </c>
      <c r="Z18" s="1">
        <v>22888</v>
      </c>
      <c r="AA18" s="1">
        <v>2073051</v>
      </c>
      <c r="AB18" s="1">
        <v>354071</v>
      </c>
      <c r="AC18" s="1">
        <v>1132750</v>
      </c>
      <c r="AD18" s="1">
        <v>8928</v>
      </c>
      <c r="AE18" s="1">
        <v>2136070</v>
      </c>
      <c r="AF18" s="1">
        <v>344076</v>
      </c>
      <c r="AG18" s="1">
        <v>1278897</v>
      </c>
      <c r="AH18" s="1">
        <v>31034</v>
      </c>
      <c r="AI18" s="1">
        <f t="shared" si="0"/>
        <v>74524.202127659577</v>
      </c>
      <c r="AJ18" s="1">
        <f t="shared" si="1"/>
        <v>74496</v>
      </c>
      <c r="AK18" s="8">
        <f t="shared" si="2"/>
        <v>-3.7842911234753362E-4</v>
      </c>
      <c r="AL18" s="9">
        <f t="shared" si="3"/>
        <v>5258716</v>
      </c>
      <c r="AM18" s="8">
        <f t="shared" si="4"/>
        <v>9.2901203586339465E-2</v>
      </c>
      <c r="AN18" s="9">
        <f t="shared" si="5"/>
        <v>87424</v>
      </c>
      <c r="AO18" s="8">
        <f t="shared" si="6"/>
        <v>7.4004914004913935E-2</v>
      </c>
      <c r="AP18" s="8">
        <f t="shared" si="8"/>
        <v>0.17309541738190148</v>
      </c>
      <c r="AT18">
        <v>17.760000000000002</v>
      </c>
      <c r="AU18">
        <v>142.19</v>
      </c>
      <c r="AV18">
        <v>47.12</v>
      </c>
    </row>
    <row r="19" spans="1:48" x14ac:dyDescent="0.2">
      <c r="A19" t="s">
        <v>243</v>
      </c>
      <c r="B19">
        <v>1080597</v>
      </c>
      <c r="C19" s="1">
        <v>101</v>
      </c>
      <c r="D19" s="1">
        <v>94757</v>
      </c>
      <c r="E19" s="2" t="s">
        <v>244</v>
      </c>
      <c r="F19" s="8">
        <f t="shared" si="7"/>
        <v>0.25694149725463505</v>
      </c>
      <c r="G19" s="1">
        <v>238243.93</v>
      </c>
      <c r="H19" s="1">
        <v>57779.42</v>
      </c>
      <c r="I19" s="1">
        <v>253802.03</v>
      </c>
      <c r="J19" s="1">
        <v>6513.54</v>
      </c>
      <c r="K19" s="1">
        <v>167886.58</v>
      </c>
      <c r="L19" s="1">
        <v>41485.629999999997</v>
      </c>
      <c r="M19" s="1">
        <v>200043.56</v>
      </c>
      <c r="N19" s="1">
        <v>2593.31</v>
      </c>
      <c r="O19" s="1">
        <v>271115.14</v>
      </c>
      <c r="P19" s="1">
        <v>69660.73</v>
      </c>
      <c r="Q19" s="1">
        <v>66367.95</v>
      </c>
      <c r="R19" s="1">
        <v>6840.11</v>
      </c>
      <c r="S19" s="1">
        <v>271206.59000000003</v>
      </c>
      <c r="T19" s="1">
        <v>57273.42</v>
      </c>
      <c r="U19" s="1">
        <v>62668.62</v>
      </c>
      <c r="V19" s="1">
        <v>178.72</v>
      </c>
      <c r="W19" s="1">
        <v>284018.02</v>
      </c>
      <c r="X19" s="1">
        <v>62923.43</v>
      </c>
      <c r="Y19" s="1">
        <v>59465.69</v>
      </c>
      <c r="Z19" s="1">
        <v>3970.82</v>
      </c>
      <c r="AA19" s="1">
        <v>238243.93</v>
      </c>
      <c r="AB19" s="1">
        <v>57779.42</v>
      </c>
      <c r="AC19" s="1">
        <v>60941.37</v>
      </c>
      <c r="AD19" s="1">
        <v>1539.03</v>
      </c>
      <c r="AE19" s="1">
        <v>236263.93</v>
      </c>
      <c r="AF19" s="1">
        <v>57093.19</v>
      </c>
      <c r="AG19" s="1">
        <v>71513.960000000006</v>
      </c>
      <c r="AH19" s="1">
        <v>3951.15</v>
      </c>
      <c r="AI19" s="1">
        <f t="shared" si="0"/>
        <v>12533.994708994709</v>
      </c>
      <c r="AJ19" s="1">
        <f t="shared" si="1"/>
        <v>12528.68</v>
      </c>
      <c r="AK19" s="8">
        <f t="shared" si="2"/>
        <v>-4.2402355498805111E-4</v>
      </c>
      <c r="AL19" s="9">
        <f t="shared" si="3"/>
        <v>251336.34666666668</v>
      </c>
      <c r="AM19" s="8">
        <f t="shared" si="4"/>
        <v>-9.7149866505532589E-3</v>
      </c>
      <c r="AN19" s="9">
        <f t="shared" si="5"/>
        <v>14652.866666666667</v>
      </c>
      <c r="AO19" s="8">
        <f t="shared" si="6"/>
        <v>1.2496010873759378</v>
      </c>
      <c r="AP19" s="8">
        <f t="shared" si="8"/>
        <v>0.16905001213630655</v>
      </c>
      <c r="AT19">
        <v>-1.74</v>
      </c>
      <c r="AU19">
        <v>54.88</v>
      </c>
      <c r="AV19">
        <v>249.14</v>
      </c>
    </row>
    <row r="20" spans="1:48" x14ac:dyDescent="0.2">
      <c r="A20" t="s">
        <v>605</v>
      </c>
      <c r="B20">
        <v>539015</v>
      </c>
      <c r="C20" s="1">
        <v>8878</v>
      </c>
      <c r="D20" s="1">
        <v>1505807</v>
      </c>
      <c r="E20" s="2" t="s">
        <v>606</v>
      </c>
      <c r="F20" s="8">
        <f t="shared" si="7"/>
        <v>0.33380590676300742</v>
      </c>
      <c r="G20" s="1">
        <v>2473962</v>
      </c>
      <c r="H20" s="1">
        <v>571173</v>
      </c>
      <c r="I20" s="1">
        <v>779741</v>
      </c>
      <c r="J20" s="1">
        <v>100746</v>
      </c>
      <c r="K20" s="1">
        <v>2126560</v>
      </c>
      <c r="L20" s="1">
        <v>468775</v>
      </c>
      <c r="M20" s="1">
        <v>702592</v>
      </c>
      <c r="N20" s="1">
        <v>73913</v>
      </c>
      <c r="O20" s="1">
        <v>2387636</v>
      </c>
      <c r="P20" s="1">
        <v>797007</v>
      </c>
      <c r="Q20" s="1">
        <v>386252</v>
      </c>
      <c r="R20" s="1">
        <v>205179</v>
      </c>
      <c r="S20" s="1">
        <v>2294735</v>
      </c>
      <c r="T20" s="1">
        <v>674722</v>
      </c>
      <c r="U20" s="1">
        <v>120443</v>
      </c>
      <c r="V20" s="1">
        <v>59619</v>
      </c>
      <c r="W20" s="1">
        <v>2530925</v>
      </c>
      <c r="X20" s="1">
        <v>625008</v>
      </c>
      <c r="Y20" s="1">
        <v>197772</v>
      </c>
      <c r="Z20" s="1">
        <v>23356</v>
      </c>
      <c r="AA20" s="1">
        <v>2473962</v>
      </c>
      <c r="AB20" s="1">
        <v>571173</v>
      </c>
      <c r="AC20" s="1">
        <v>274469</v>
      </c>
      <c r="AD20" s="1">
        <v>41569</v>
      </c>
      <c r="AE20" s="1">
        <v>2313964</v>
      </c>
      <c r="AF20" s="1">
        <v>539493</v>
      </c>
      <c r="AG20" s="1">
        <v>182322</v>
      </c>
      <c r="AH20" s="1">
        <v>18315</v>
      </c>
      <c r="AI20" s="1">
        <f t="shared" si="0"/>
        <v>329498.24945295404</v>
      </c>
      <c r="AJ20" s="1">
        <f t="shared" si="1"/>
        <v>329723</v>
      </c>
      <c r="AK20" s="8">
        <f t="shared" si="2"/>
        <v>6.8209936598773169E-4</v>
      </c>
      <c r="AL20" s="9">
        <f t="shared" si="3"/>
        <v>939289.33333333337</v>
      </c>
      <c r="AM20" s="8">
        <f t="shared" si="4"/>
        <v>0.20461708866576633</v>
      </c>
      <c r="AN20" s="9">
        <f t="shared" si="5"/>
        <v>384205.33333333331</v>
      </c>
      <c r="AO20" s="8">
        <f t="shared" si="6"/>
        <v>2.8136038486226083</v>
      </c>
      <c r="AP20" s="8">
        <f t="shared" si="8"/>
        <v>0.16603148566405479</v>
      </c>
      <c r="AQ20" s="10" t="s">
        <v>668</v>
      </c>
      <c r="AT20">
        <v>-0.03</v>
      </c>
      <c r="AU20">
        <v>51.42</v>
      </c>
      <c r="AV20">
        <v>154.85</v>
      </c>
    </row>
    <row r="21" spans="1:48" x14ac:dyDescent="0.2">
      <c r="A21" t="s">
        <v>103</v>
      </c>
      <c r="B21">
        <v>1081074</v>
      </c>
      <c r="C21" s="1">
        <v>10700</v>
      </c>
      <c r="D21" s="1">
        <v>1886911</v>
      </c>
      <c r="E21" s="2" t="s">
        <v>104</v>
      </c>
      <c r="F21" s="8">
        <f t="shared" si="7"/>
        <v>0.39226542233694073</v>
      </c>
      <c r="G21" s="1">
        <v>3808763</v>
      </c>
      <c r="H21" s="1">
        <v>1457799</v>
      </c>
      <c r="I21" s="1">
        <v>417445</v>
      </c>
      <c r="J21" s="1">
        <v>97262</v>
      </c>
      <c r="K21" s="1">
        <v>3508620</v>
      </c>
      <c r="L21" s="1">
        <v>1402419</v>
      </c>
      <c r="M21" s="1">
        <v>406150</v>
      </c>
      <c r="N21" s="1">
        <v>127205</v>
      </c>
      <c r="O21" s="1">
        <v>4102021</v>
      </c>
      <c r="P21" s="1">
        <v>1609081</v>
      </c>
      <c r="Q21" s="1">
        <v>226838</v>
      </c>
      <c r="R21" s="1">
        <v>116789</v>
      </c>
      <c r="S21" s="1">
        <v>3887459</v>
      </c>
      <c r="T21" s="1">
        <v>1455269</v>
      </c>
      <c r="U21" s="1">
        <v>111979</v>
      </c>
      <c r="V21" s="1">
        <v>6012</v>
      </c>
      <c r="W21" s="1">
        <v>4041981</v>
      </c>
      <c r="X21" s="1">
        <v>1454186</v>
      </c>
      <c r="Y21" s="1">
        <v>93822</v>
      </c>
      <c r="Z21" s="1">
        <v>23455</v>
      </c>
      <c r="AA21" s="1">
        <v>3808763</v>
      </c>
      <c r="AB21" s="1">
        <v>1457799</v>
      </c>
      <c r="AC21" s="1">
        <v>109420</v>
      </c>
      <c r="AD21" s="1">
        <v>26686</v>
      </c>
      <c r="AE21" s="1">
        <v>3758623</v>
      </c>
      <c r="AF21" s="1">
        <v>1453199</v>
      </c>
      <c r="AG21" s="1">
        <v>161989</v>
      </c>
      <c r="AH21" s="1">
        <v>35051</v>
      </c>
      <c r="AI21" s="1">
        <f t="shared" si="0"/>
        <v>171537.36363636365</v>
      </c>
      <c r="AJ21" s="1">
        <f t="shared" si="1"/>
        <v>172942</v>
      </c>
      <c r="AK21" s="8">
        <f t="shared" si="2"/>
        <v>8.1885155155700939E-3</v>
      </c>
      <c r="AL21" s="9">
        <f t="shared" si="3"/>
        <v>576852</v>
      </c>
      <c r="AM21" s="8">
        <f t="shared" si="4"/>
        <v>0.38186347902118833</v>
      </c>
      <c r="AN21" s="9">
        <f t="shared" si="5"/>
        <v>195008</v>
      </c>
      <c r="AO21" s="8">
        <f t="shared" si="6"/>
        <v>1.0049762497172585</v>
      </c>
      <c r="AP21" s="8">
        <f t="shared" si="8"/>
        <v>0.13682521327185015</v>
      </c>
      <c r="AQ21" s="11"/>
      <c r="AS21" t="s">
        <v>673</v>
      </c>
      <c r="AT21">
        <v>-4.45</v>
      </c>
      <c r="AU21">
        <v>16.37</v>
      </c>
      <c r="AV21">
        <v>12.36</v>
      </c>
    </row>
    <row r="22" spans="1:48" x14ac:dyDescent="0.2">
      <c r="A22" t="s">
        <v>596</v>
      </c>
      <c r="B22">
        <v>393017</v>
      </c>
      <c r="C22" s="1">
        <v>5131</v>
      </c>
      <c r="D22" s="1">
        <v>209496</v>
      </c>
      <c r="E22" s="2" t="s">
        <v>597</v>
      </c>
      <c r="F22" s="8">
        <f t="shared" si="7"/>
        <v>0.49992843633389561</v>
      </c>
      <c r="G22" s="1">
        <v>181951</v>
      </c>
      <c r="H22" s="1">
        <v>112692</v>
      </c>
      <c r="I22" s="1">
        <v>325923</v>
      </c>
      <c r="J22" s="1">
        <v>36577</v>
      </c>
      <c r="K22" s="1">
        <v>148126</v>
      </c>
      <c r="L22" s="1">
        <v>96187</v>
      </c>
      <c r="M22" s="1">
        <v>272106</v>
      </c>
      <c r="N22" s="1">
        <v>22869</v>
      </c>
      <c r="O22" s="1">
        <v>195630</v>
      </c>
      <c r="P22" s="1">
        <v>97801</v>
      </c>
      <c r="Q22" s="1">
        <v>234904</v>
      </c>
      <c r="R22" s="1">
        <v>15087</v>
      </c>
      <c r="S22" s="1">
        <v>197429</v>
      </c>
      <c r="T22" s="1">
        <v>91264</v>
      </c>
      <c r="U22" s="1">
        <v>69747</v>
      </c>
      <c r="V22" s="1">
        <v>3475</v>
      </c>
      <c r="W22" s="1">
        <v>190528</v>
      </c>
      <c r="X22" s="1">
        <v>102783</v>
      </c>
      <c r="Y22" s="1">
        <v>78444</v>
      </c>
      <c r="Z22" s="1">
        <v>5081</v>
      </c>
      <c r="AA22" s="1">
        <v>181951</v>
      </c>
      <c r="AB22" s="1">
        <v>112692</v>
      </c>
      <c r="AC22" s="1">
        <v>69949</v>
      </c>
      <c r="AD22" s="1">
        <v>11605</v>
      </c>
      <c r="AE22" s="1">
        <v>192768</v>
      </c>
      <c r="AF22" s="1">
        <v>100996</v>
      </c>
      <c r="AG22" s="1">
        <v>86369</v>
      </c>
      <c r="AH22" s="1">
        <v>8354</v>
      </c>
      <c r="AI22" s="1">
        <f t="shared" si="0"/>
        <v>27932.799999999999</v>
      </c>
      <c r="AJ22" s="1">
        <f t="shared" si="1"/>
        <v>35248</v>
      </c>
      <c r="AK22" s="8">
        <f t="shared" si="2"/>
        <v>0.26188566846145034</v>
      </c>
      <c r="AL22" s="9">
        <f t="shared" si="3"/>
        <v>510793.33333333331</v>
      </c>
      <c r="AM22" s="8">
        <f t="shared" si="4"/>
        <v>0.56722088755114952</v>
      </c>
      <c r="AN22" s="9">
        <f t="shared" si="5"/>
        <v>31524</v>
      </c>
      <c r="AO22" s="8">
        <f t="shared" si="6"/>
        <v>-0.13814692292970998</v>
      </c>
      <c r="AP22" s="8">
        <f t="shared" si="8"/>
        <v>0.12856570053843508</v>
      </c>
      <c r="AT22">
        <v>-8.9700000000000006</v>
      </c>
      <c r="AU22">
        <v>43.67</v>
      </c>
      <c r="AV22">
        <v>92.39</v>
      </c>
    </row>
    <row r="23" spans="1:48" x14ac:dyDescent="0.2">
      <c r="A23" t="s">
        <v>121</v>
      </c>
      <c r="B23">
        <v>1142454</v>
      </c>
      <c r="C23" s="1">
        <v>1746</v>
      </c>
      <c r="D23" s="1">
        <v>626519</v>
      </c>
      <c r="E23" s="2" t="s">
        <v>122</v>
      </c>
      <c r="F23" s="8">
        <f t="shared" si="7"/>
        <v>0.42853233960494086</v>
      </c>
      <c r="G23" s="1">
        <v>652560</v>
      </c>
      <c r="H23" s="1">
        <v>282272</v>
      </c>
      <c r="I23" s="1">
        <v>724793</v>
      </c>
      <c r="J23" s="1">
        <v>38291</v>
      </c>
      <c r="K23" s="1">
        <v>531277</v>
      </c>
      <c r="L23" s="1">
        <v>263406</v>
      </c>
      <c r="M23" s="1">
        <v>560726</v>
      </c>
      <c r="N23" s="1">
        <v>35875</v>
      </c>
      <c r="O23" s="1">
        <v>690732</v>
      </c>
      <c r="P23" s="1">
        <v>296001</v>
      </c>
      <c r="Q23" s="1">
        <v>207189</v>
      </c>
      <c r="R23" s="1">
        <v>10558</v>
      </c>
      <c r="S23" s="1">
        <v>699785</v>
      </c>
      <c r="T23" s="1">
        <v>294184</v>
      </c>
      <c r="U23" s="1">
        <v>201187</v>
      </c>
      <c r="V23" s="1">
        <v>7340</v>
      </c>
      <c r="W23" s="1">
        <v>684801</v>
      </c>
      <c r="X23" s="1">
        <v>286136</v>
      </c>
      <c r="Y23" s="1">
        <v>171765</v>
      </c>
      <c r="Z23" s="1">
        <v>11180</v>
      </c>
      <c r="AA23" s="1">
        <v>652560</v>
      </c>
      <c r="AB23" s="1">
        <v>282272</v>
      </c>
      <c r="AC23" s="1">
        <v>198882</v>
      </c>
      <c r="AD23" s="1">
        <v>5623</v>
      </c>
      <c r="AE23" s="1">
        <v>603927</v>
      </c>
      <c r="AF23" s="1">
        <v>277407</v>
      </c>
      <c r="AG23" s="1">
        <v>183322</v>
      </c>
      <c r="AH23" s="1">
        <v>10502</v>
      </c>
      <c r="AI23" s="1">
        <f t="shared" si="0"/>
        <v>34710.19390581717</v>
      </c>
      <c r="AJ23" s="1">
        <f t="shared" si="1"/>
        <v>34701</v>
      </c>
      <c r="AK23" s="8">
        <f t="shared" si="2"/>
        <v>-2.6487624477455896E-4</v>
      </c>
      <c r="AL23" s="9">
        <f t="shared" si="3"/>
        <v>773521.33333333337</v>
      </c>
      <c r="AM23" s="8">
        <f t="shared" si="4"/>
        <v>6.7230689773953856E-2</v>
      </c>
      <c r="AN23" s="9">
        <f t="shared" si="5"/>
        <v>38770.666666666664</v>
      </c>
      <c r="AO23" s="8">
        <f t="shared" si="6"/>
        <v>1.2526877508204581E-2</v>
      </c>
      <c r="AP23" s="8">
        <f t="shared" si="8"/>
        <v>0.11698213994042228</v>
      </c>
      <c r="AT23">
        <v>13.51</v>
      </c>
      <c r="AU23">
        <v>51.11</v>
      </c>
      <c r="AV23">
        <v>84.31</v>
      </c>
    </row>
    <row r="24" spans="1:48" x14ac:dyDescent="0.2">
      <c r="A24" t="s">
        <v>271</v>
      </c>
      <c r="B24">
        <v>1173491</v>
      </c>
      <c r="C24" s="1">
        <v>4920</v>
      </c>
      <c r="D24" s="1">
        <v>1460787</v>
      </c>
      <c r="E24" s="2" t="s">
        <v>272</v>
      </c>
      <c r="F24" s="8">
        <f t="shared" si="7"/>
        <v>0.46528556685061839</v>
      </c>
      <c r="G24" s="1">
        <v>1914377</v>
      </c>
      <c r="H24" s="1">
        <v>832817</v>
      </c>
      <c r="I24" s="1">
        <v>3555976</v>
      </c>
      <c r="J24" s="1">
        <v>111772</v>
      </c>
      <c r="K24" s="1">
        <v>1850949</v>
      </c>
      <c r="L24" s="1">
        <v>815672</v>
      </c>
      <c r="M24" s="1">
        <v>3372866</v>
      </c>
      <c r="N24" s="1">
        <v>73066</v>
      </c>
      <c r="O24" s="1">
        <v>2143316</v>
      </c>
      <c r="P24" s="1">
        <v>997254</v>
      </c>
      <c r="Q24" s="1">
        <v>974093</v>
      </c>
      <c r="R24" s="1">
        <v>27366</v>
      </c>
      <c r="S24" s="1">
        <v>2128306</v>
      </c>
      <c r="T24" s="1">
        <v>878709</v>
      </c>
      <c r="U24" s="1">
        <v>958250</v>
      </c>
      <c r="V24" s="1">
        <v>53865</v>
      </c>
      <c r="W24" s="1">
        <v>2063481</v>
      </c>
      <c r="X24" s="1">
        <v>845423</v>
      </c>
      <c r="Y24" s="1">
        <v>877000</v>
      </c>
      <c r="Z24" s="1">
        <v>14525</v>
      </c>
      <c r="AA24" s="1">
        <v>1914377</v>
      </c>
      <c r="AB24" s="1">
        <v>832817</v>
      </c>
      <c r="AC24" s="1">
        <v>898245</v>
      </c>
      <c r="AD24" s="1">
        <v>19132</v>
      </c>
      <c r="AE24" s="1">
        <v>1993058</v>
      </c>
      <c r="AF24" s="1">
        <v>868626</v>
      </c>
      <c r="AG24" s="1">
        <v>965216</v>
      </c>
      <c r="AH24" s="1">
        <v>32560</v>
      </c>
      <c r="AI24" s="1">
        <f t="shared" si="0"/>
        <v>114932.10070810384</v>
      </c>
      <c r="AJ24" s="1">
        <f t="shared" si="1"/>
        <v>114888</v>
      </c>
      <c r="AK24" s="8">
        <f t="shared" si="2"/>
        <v>-3.8371097223610651E-4</v>
      </c>
      <c r="AL24" s="9">
        <f t="shared" si="3"/>
        <v>3745790.6666666665</v>
      </c>
      <c r="AM24" s="8">
        <f t="shared" si="4"/>
        <v>5.3379062925809073E-2</v>
      </c>
      <c r="AN24" s="9">
        <f t="shared" si="5"/>
        <v>127674.66666666667</v>
      </c>
      <c r="AO24" s="8">
        <f t="shared" si="6"/>
        <v>0.14227773204976812</v>
      </c>
      <c r="AP24" s="8">
        <f t="shared" si="8"/>
        <v>0.11087038242627689</v>
      </c>
      <c r="AT24">
        <v>-2.99</v>
      </c>
      <c r="AU24">
        <v>30.93</v>
      </c>
      <c r="AV24">
        <v>40.97</v>
      </c>
    </row>
    <row r="25" spans="1:48" x14ac:dyDescent="0.2">
      <c r="A25" t="s">
        <v>411</v>
      </c>
      <c r="B25">
        <v>1184381</v>
      </c>
      <c r="C25" s="1">
        <v>1493</v>
      </c>
      <c r="D25" s="1">
        <v>1925830</v>
      </c>
      <c r="E25" s="2" t="s">
        <v>412</v>
      </c>
      <c r="F25" s="8">
        <f t="shared" si="7"/>
        <v>0.4167287656594913</v>
      </c>
      <c r="G25" s="1">
        <v>503446</v>
      </c>
      <c r="H25" s="1">
        <v>222137</v>
      </c>
      <c r="I25" s="1">
        <v>526052</v>
      </c>
      <c r="J25" s="1">
        <v>49574</v>
      </c>
      <c r="K25" s="1">
        <v>505753</v>
      </c>
      <c r="L25" s="1">
        <v>235310</v>
      </c>
      <c r="M25" s="1">
        <v>445456</v>
      </c>
      <c r="N25" s="1">
        <v>39303</v>
      </c>
      <c r="O25" s="1">
        <v>568984</v>
      </c>
      <c r="P25" s="1">
        <v>237112</v>
      </c>
      <c r="Q25" s="1">
        <v>171190</v>
      </c>
      <c r="R25" s="1">
        <v>18867</v>
      </c>
      <c r="S25" s="1">
        <v>523359</v>
      </c>
      <c r="T25" s="1">
        <v>233792</v>
      </c>
      <c r="U25" s="1">
        <v>150868</v>
      </c>
      <c r="V25" s="1">
        <v>16709</v>
      </c>
      <c r="W25" s="1">
        <v>535560</v>
      </c>
      <c r="X25" s="1">
        <v>230870</v>
      </c>
      <c r="Y25" s="1">
        <v>150880</v>
      </c>
      <c r="Z25" s="1">
        <v>17523</v>
      </c>
      <c r="AA25" s="1">
        <v>503446</v>
      </c>
      <c r="AB25" s="1">
        <v>222137</v>
      </c>
      <c r="AC25" s="1">
        <v>139110</v>
      </c>
      <c r="AD25" s="1">
        <v>11197</v>
      </c>
      <c r="AE25" s="1">
        <v>536081</v>
      </c>
      <c r="AF25" s="1">
        <v>246744</v>
      </c>
      <c r="AG25" s="1">
        <v>140805</v>
      </c>
      <c r="AH25" s="1">
        <v>18137</v>
      </c>
      <c r="AI25" s="1">
        <f t="shared" si="0"/>
        <v>63874.958540630185</v>
      </c>
      <c r="AJ25" s="1">
        <f t="shared" si="1"/>
        <v>64296</v>
      </c>
      <c r="AK25" s="8">
        <f t="shared" si="2"/>
        <v>6.5916513918673481E-3</v>
      </c>
      <c r="AL25" s="9">
        <f t="shared" si="3"/>
        <v>630584</v>
      </c>
      <c r="AM25" s="8">
        <f t="shared" si="4"/>
        <v>0.1987103936492971</v>
      </c>
      <c r="AN25" s="9">
        <f t="shared" si="5"/>
        <v>70798.666666666672</v>
      </c>
      <c r="AO25" s="8">
        <f t="shared" si="6"/>
        <v>0.42814109546670975</v>
      </c>
      <c r="AP25" s="8">
        <f t="shared" si="8"/>
        <v>0.10839471812153723</v>
      </c>
      <c r="AT25">
        <v>9.86</v>
      </c>
      <c r="AU25">
        <v>138.72</v>
      </c>
      <c r="AV25">
        <v>181.25</v>
      </c>
    </row>
    <row r="26" spans="1:48" x14ac:dyDescent="0.2">
      <c r="A26" t="s">
        <v>49</v>
      </c>
      <c r="B26">
        <v>1820083</v>
      </c>
      <c r="C26" s="1">
        <v>484.9</v>
      </c>
      <c r="D26" s="1">
        <v>916119</v>
      </c>
      <c r="E26" s="2" t="s">
        <v>50</v>
      </c>
      <c r="F26" s="8">
        <f t="shared" si="7"/>
        <v>0.27121177472824914</v>
      </c>
      <c r="G26" s="1">
        <v>5490045</v>
      </c>
      <c r="H26" s="1">
        <v>1395464</v>
      </c>
      <c r="I26" s="1">
        <v>338030</v>
      </c>
      <c r="J26" s="1">
        <v>-7128</v>
      </c>
      <c r="K26" s="1">
        <v>5654649</v>
      </c>
      <c r="L26" s="1">
        <v>1479865</v>
      </c>
      <c r="M26" s="1">
        <v>320831</v>
      </c>
      <c r="N26" s="1">
        <v>95505</v>
      </c>
      <c r="O26" s="1">
        <v>5667324</v>
      </c>
      <c r="P26" s="1">
        <v>1537045</v>
      </c>
      <c r="Q26" s="1">
        <v>84152</v>
      </c>
      <c r="R26" s="1">
        <v>15724</v>
      </c>
      <c r="S26" s="1">
        <v>5687541</v>
      </c>
      <c r="T26" s="1">
        <v>1419259</v>
      </c>
      <c r="U26" s="1">
        <v>85872</v>
      </c>
      <c r="V26" s="1">
        <v>25687</v>
      </c>
      <c r="W26" s="1">
        <v>5718198</v>
      </c>
      <c r="X26" s="1">
        <v>1428677</v>
      </c>
      <c r="Y26" s="1">
        <v>84813</v>
      </c>
      <c r="Z26" s="1">
        <v>-3028</v>
      </c>
      <c r="AA26" s="1">
        <v>5490045</v>
      </c>
      <c r="AB26" s="1">
        <v>1395464</v>
      </c>
      <c r="AC26" s="1">
        <v>87066</v>
      </c>
      <c r="AD26" s="1">
        <v>8546</v>
      </c>
      <c r="AE26" s="1">
        <v>5740718</v>
      </c>
      <c r="AF26" s="1">
        <v>1468146</v>
      </c>
      <c r="AG26" s="1">
        <v>86854</v>
      </c>
      <c r="AH26" s="1">
        <v>2187</v>
      </c>
      <c r="AI26" s="1">
        <f t="shared" si="0"/>
        <v>46268.63636363636</v>
      </c>
      <c r="AJ26" s="1">
        <f t="shared" si="1"/>
        <v>46929</v>
      </c>
      <c r="AK26" s="8">
        <f t="shared" si="2"/>
        <v>1.427238164474276E-2</v>
      </c>
      <c r="AL26" s="9">
        <f t="shared" si="3"/>
        <v>339782.66666666669</v>
      </c>
      <c r="AM26" s="8">
        <f t="shared" si="4"/>
        <v>5.1849441371081273E-3</v>
      </c>
      <c r="AN26" s="9">
        <f t="shared" si="5"/>
        <v>51177.333333333336</v>
      </c>
      <c r="AO26" s="8">
        <f t="shared" si="6"/>
        <v>-8.1797605686494581</v>
      </c>
      <c r="AP26" s="8">
        <f t="shared" si="8"/>
        <v>0.10609123923857067</v>
      </c>
      <c r="AT26">
        <v>-9.24</v>
      </c>
      <c r="AU26">
        <v>-2.79</v>
      </c>
      <c r="AV26">
        <v>-15.48</v>
      </c>
    </row>
    <row r="27" spans="1:48" x14ac:dyDescent="0.2">
      <c r="A27" t="s">
        <v>421</v>
      </c>
      <c r="B27">
        <v>507012</v>
      </c>
      <c r="C27" s="1">
        <v>46820</v>
      </c>
      <c r="D27" s="1">
        <v>1606685</v>
      </c>
      <c r="E27" s="2" t="s">
        <v>422</v>
      </c>
      <c r="F27" s="8">
        <f t="shared" si="7"/>
        <v>0.15293708522908395</v>
      </c>
      <c r="G27" s="1">
        <v>2370286</v>
      </c>
      <c r="H27" s="1">
        <v>274221</v>
      </c>
      <c r="I27" s="1">
        <v>4003967</v>
      </c>
      <c r="J27" s="1">
        <v>86911</v>
      </c>
      <c r="K27" s="1">
        <v>2251910</v>
      </c>
      <c r="L27" s="1">
        <v>334099</v>
      </c>
      <c r="M27" s="1">
        <v>3697528</v>
      </c>
      <c r="N27" s="1">
        <v>70939</v>
      </c>
      <c r="O27" s="1">
        <v>2415490</v>
      </c>
      <c r="P27" s="1">
        <v>369418</v>
      </c>
      <c r="Q27" s="1">
        <v>3396882</v>
      </c>
      <c r="R27" s="1">
        <v>73470</v>
      </c>
      <c r="S27" s="1">
        <v>2570047</v>
      </c>
      <c r="T27" s="1">
        <v>291992</v>
      </c>
      <c r="U27" s="1">
        <v>1115115</v>
      </c>
      <c r="V27" s="1">
        <v>25071</v>
      </c>
      <c r="W27" s="1">
        <v>2501591</v>
      </c>
      <c r="X27" s="1">
        <v>281172</v>
      </c>
      <c r="Y27" s="1">
        <v>1130128</v>
      </c>
      <c r="Z27" s="1">
        <v>22166</v>
      </c>
      <c r="AA27" s="1">
        <v>2370286</v>
      </c>
      <c r="AB27" s="1">
        <v>274221</v>
      </c>
      <c r="AC27" s="1">
        <v>1080571</v>
      </c>
      <c r="AD27" s="1">
        <v>25011</v>
      </c>
      <c r="AE27" s="1">
        <v>2093989</v>
      </c>
      <c r="AF27" s="1">
        <v>268774</v>
      </c>
      <c r="AG27" s="1">
        <v>970461</v>
      </c>
      <c r="AH27" s="1">
        <v>22963</v>
      </c>
      <c r="AI27" s="1">
        <f t="shared" si="0"/>
        <v>145665.00453309159</v>
      </c>
      <c r="AJ27" s="1">
        <f t="shared" si="1"/>
        <v>145718</v>
      </c>
      <c r="AK27" s="8">
        <f t="shared" si="2"/>
        <v>3.6381742531976791E-4</v>
      </c>
      <c r="AL27" s="9">
        <f t="shared" si="3"/>
        <v>7522833.333333333</v>
      </c>
      <c r="AM27" s="8">
        <f t="shared" si="4"/>
        <v>0.8788449888156753</v>
      </c>
      <c r="AN27" s="9">
        <f t="shared" si="5"/>
        <v>160942.66666666666</v>
      </c>
      <c r="AO27" s="8">
        <f t="shared" si="6"/>
        <v>0.85181008924838819</v>
      </c>
      <c r="AP27" s="8">
        <f t="shared" si="8"/>
        <v>0.10488217250633003</v>
      </c>
      <c r="AT27">
        <v>1.17</v>
      </c>
      <c r="AU27">
        <v>38.71</v>
      </c>
      <c r="AV27">
        <v>123.41</v>
      </c>
    </row>
    <row r="28" spans="1:48" x14ac:dyDescent="0.2">
      <c r="A28" t="s">
        <v>451</v>
      </c>
      <c r="B28">
        <v>208017</v>
      </c>
      <c r="C28" s="1">
        <v>5181</v>
      </c>
      <c r="D28" s="1">
        <v>1697191</v>
      </c>
      <c r="E28" s="2" t="s">
        <v>216</v>
      </c>
      <c r="F28" s="8">
        <f t="shared" si="7"/>
        <v>0.20405552812999769</v>
      </c>
      <c r="G28" s="1">
        <v>4130057</v>
      </c>
      <c r="H28" s="1">
        <v>911935</v>
      </c>
      <c r="I28" s="1">
        <v>375030</v>
      </c>
      <c r="J28" s="1">
        <v>156812</v>
      </c>
      <c r="K28" s="1">
        <v>3403339</v>
      </c>
      <c r="L28" s="1">
        <v>810710</v>
      </c>
      <c r="M28" s="1">
        <v>372366</v>
      </c>
      <c r="N28" s="1">
        <v>142700</v>
      </c>
      <c r="O28" s="1">
        <v>4869748</v>
      </c>
      <c r="P28" s="1">
        <v>993699</v>
      </c>
      <c r="Q28" s="1">
        <v>117415</v>
      </c>
      <c r="R28" s="1">
        <v>106097</v>
      </c>
      <c r="S28" s="1">
        <v>5018193</v>
      </c>
      <c r="T28" s="1">
        <v>960675</v>
      </c>
      <c r="U28" s="1">
        <v>109324</v>
      </c>
      <c r="V28" s="1">
        <v>40478</v>
      </c>
      <c r="W28" s="1">
        <v>4319401</v>
      </c>
      <c r="X28" s="1">
        <v>930600</v>
      </c>
      <c r="Y28" s="1">
        <v>104834</v>
      </c>
      <c r="Z28" s="1">
        <v>43096</v>
      </c>
      <c r="AA28" s="1">
        <v>4130057</v>
      </c>
      <c r="AB28" s="1">
        <v>911935</v>
      </c>
      <c r="AC28" s="1">
        <v>103121</v>
      </c>
      <c r="AD28" s="1">
        <v>41926</v>
      </c>
      <c r="AE28" s="1">
        <v>3648837</v>
      </c>
      <c r="AF28" s="1">
        <v>862561</v>
      </c>
      <c r="AG28" s="1">
        <v>96392</v>
      </c>
      <c r="AH28" s="1">
        <v>38312</v>
      </c>
      <c r="AI28" s="1">
        <f t="shared" si="0"/>
        <v>231540.38199181447</v>
      </c>
      <c r="AJ28" s="1">
        <f t="shared" si="1"/>
        <v>231597</v>
      </c>
      <c r="AK28" s="8">
        <f t="shared" si="2"/>
        <v>2.4452757526982616E-4</v>
      </c>
      <c r="AL28" s="9">
        <f t="shared" si="3"/>
        <v>442097.33333333331</v>
      </c>
      <c r="AM28" s="8">
        <f t="shared" si="4"/>
        <v>0.17883191566896861</v>
      </c>
      <c r="AN28" s="9">
        <f t="shared" si="5"/>
        <v>252894.66666666666</v>
      </c>
      <c r="AO28" s="8">
        <f t="shared" si="6"/>
        <v>0.61272521660757251</v>
      </c>
      <c r="AP28" s="8">
        <f t="shared" si="8"/>
        <v>9.2227042605497189E-2</v>
      </c>
      <c r="AT28">
        <v>-8.35</v>
      </c>
      <c r="AU28">
        <v>60.52</v>
      </c>
      <c r="AV28">
        <v>138.47</v>
      </c>
    </row>
    <row r="29" spans="1:48" x14ac:dyDescent="0.2">
      <c r="A29" t="s">
        <v>80</v>
      </c>
      <c r="B29">
        <v>1084482</v>
      </c>
      <c r="C29" s="1">
        <v>1157</v>
      </c>
      <c r="D29" s="1">
        <v>359899</v>
      </c>
      <c r="E29" s="2" t="s">
        <v>81</v>
      </c>
      <c r="F29" s="8">
        <f t="shared" si="7"/>
        <v>0.84990421178505371</v>
      </c>
      <c r="G29" s="1">
        <v>212935</v>
      </c>
      <c r="H29" s="1">
        <v>195257</v>
      </c>
      <c r="I29" s="1">
        <v>42656</v>
      </c>
      <c r="J29" s="1">
        <v>18332</v>
      </c>
      <c r="K29" s="1">
        <v>199166</v>
      </c>
      <c r="L29" s="1">
        <v>185393</v>
      </c>
      <c r="M29" s="1">
        <v>27507</v>
      </c>
      <c r="N29" s="1">
        <v>8268</v>
      </c>
      <c r="O29" s="1">
        <v>241679</v>
      </c>
      <c r="P29" s="1">
        <v>205404</v>
      </c>
      <c r="Q29" s="1">
        <v>31055</v>
      </c>
      <c r="R29" s="1">
        <v>13820</v>
      </c>
      <c r="S29" s="1">
        <v>229200</v>
      </c>
      <c r="T29" s="1">
        <v>199537</v>
      </c>
      <c r="U29" s="1">
        <v>20793</v>
      </c>
      <c r="V29" s="1">
        <v>8842</v>
      </c>
      <c r="W29" s="1">
        <v>215327</v>
      </c>
      <c r="X29" s="1">
        <v>199042</v>
      </c>
      <c r="Y29" s="1">
        <v>18001</v>
      </c>
      <c r="Z29" s="1">
        <v>9575</v>
      </c>
      <c r="AA29" s="1">
        <v>212935</v>
      </c>
      <c r="AB29" s="1">
        <v>195257</v>
      </c>
      <c r="AC29" s="1">
        <v>15181</v>
      </c>
      <c r="AD29" s="1">
        <v>6602</v>
      </c>
      <c r="AE29" s="1">
        <v>202206</v>
      </c>
      <c r="AF29" s="1">
        <v>190179</v>
      </c>
      <c r="AG29" s="1">
        <v>7118</v>
      </c>
      <c r="AH29" s="1">
        <v>2503</v>
      </c>
      <c r="AI29" s="1">
        <f t="shared" si="0"/>
        <v>39462.609649122809</v>
      </c>
      <c r="AJ29" s="1">
        <f t="shared" si="1"/>
        <v>38839</v>
      </c>
      <c r="AK29" s="8">
        <f t="shared" si="2"/>
        <v>-1.5802544602791402E-2</v>
      </c>
      <c r="AL29" s="9">
        <f t="shared" si="3"/>
        <v>93132</v>
      </c>
      <c r="AM29" s="8">
        <f t="shared" si="4"/>
        <v>1.1833270817704427</v>
      </c>
      <c r="AN29" s="9">
        <f t="shared" si="5"/>
        <v>42982.666666666664</v>
      </c>
      <c r="AO29" s="8">
        <f t="shared" si="6"/>
        <v>1.3446796130627683</v>
      </c>
      <c r="AP29" s="8">
        <f t="shared" si="8"/>
        <v>8.9199803278141809E-2</v>
      </c>
      <c r="AT29">
        <v>12.58</v>
      </c>
      <c r="AU29">
        <v>88.68</v>
      </c>
      <c r="AV29">
        <v>82.84</v>
      </c>
    </row>
    <row r="30" spans="1:48" x14ac:dyDescent="0.2">
      <c r="A30" t="s">
        <v>524</v>
      </c>
      <c r="B30">
        <v>1170216</v>
      </c>
      <c r="C30" s="1">
        <v>982</v>
      </c>
      <c r="D30" s="1">
        <v>1049558</v>
      </c>
      <c r="E30" s="2" t="s">
        <v>525</v>
      </c>
      <c r="F30" s="8">
        <f t="shared" si="7"/>
        <v>0.54606499708171941</v>
      </c>
      <c r="G30" s="1">
        <v>1153335</v>
      </c>
      <c r="H30" s="1">
        <v>646314</v>
      </c>
      <c r="I30" s="1">
        <v>1001152</v>
      </c>
      <c r="J30" s="1">
        <v>89189</v>
      </c>
      <c r="K30" s="1">
        <v>1046440</v>
      </c>
      <c r="L30" s="1">
        <v>608866</v>
      </c>
      <c r="M30" s="1">
        <v>1000846</v>
      </c>
      <c r="N30" s="1">
        <v>81677</v>
      </c>
      <c r="O30" s="1">
        <v>1197623</v>
      </c>
      <c r="P30" s="1">
        <v>653980</v>
      </c>
      <c r="Q30" s="1">
        <v>226020</v>
      </c>
      <c r="R30" s="1">
        <v>10047</v>
      </c>
      <c r="S30" s="1">
        <v>1205302</v>
      </c>
      <c r="T30" s="1">
        <v>656903</v>
      </c>
      <c r="U30" s="1">
        <v>248890</v>
      </c>
      <c r="V30" s="1">
        <v>10027</v>
      </c>
      <c r="W30" s="1">
        <v>1212810</v>
      </c>
      <c r="X30" s="1">
        <v>665088</v>
      </c>
      <c r="Y30" s="1">
        <v>247274</v>
      </c>
      <c r="Z30" s="1">
        <v>24517</v>
      </c>
      <c r="AA30" s="1">
        <v>1153335</v>
      </c>
      <c r="AB30" s="1">
        <v>646314</v>
      </c>
      <c r="AC30" s="1">
        <v>223506</v>
      </c>
      <c r="AD30" s="1">
        <v>10033</v>
      </c>
      <c r="AE30" s="1">
        <v>1196929</v>
      </c>
      <c r="AF30" s="1">
        <v>652431</v>
      </c>
      <c r="AG30" s="1">
        <v>266773</v>
      </c>
      <c r="AH30" s="1">
        <v>26717</v>
      </c>
      <c r="AI30" s="1">
        <f t="shared" si="0"/>
        <v>54664.479166666672</v>
      </c>
      <c r="AJ30" s="1">
        <f t="shared" si="1"/>
        <v>54624</v>
      </c>
      <c r="AK30" s="8">
        <f t="shared" si="2"/>
        <v>-7.4050219235155534E-4</v>
      </c>
      <c r="AL30" s="9">
        <f t="shared" si="3"/>
        <v>962912</v>
      </c>
      <c r="AM30" s="8">
        <f t="shared" si="4"/>
        <v>-3.8195998210062032E-2</v>
      </c>
      <c r="AN30" s="9">
        <f t="shared" si="5"/>
        <v>59454.666666666664</v>
      </c>
      <c r="AO30" s="8">
        <f t="shared" si="6"/>
        <v>-0.33338565667664555</v>
      </c>
      <c r="AP30" s="8">
        <f t="shared" si="8"/>
        <v>8.7628887588870663E-2</v>
      </c>
      <c r="AT30">
        <v>-14.19</v>
      </c>
      <c r="AU30">
        <v>-25.13</v>
      </c>
      <c r="AV30">
        <v>11.28</v>
      </c>
    </row>
    <row r="31" spans="1:48" x14ac:dyDescent="0.2">
      <c r="A31" t="s">
        <v>437</v>
      </c>
      <c r="B31">
        <v>1170950</v>
      </c>
      <c r="C31" s="1">
        <v>1510</v>
      </c>
      <c r="D31" s="1">
        <v>453538</v>
      </c>
      <c r="E31" s="2" t="s">
        <v>438</v>
      </c>
      <c r="F31" s="8">
        <f t="shared" si="7"/>
        <v>0.2926193532838664</v>
      </c>
      <c r="G31" s="1">
        <v>905025</v>
      </c>
      <c r="H31" s="1">
        <v>291793</v>
      </c>
      <c r="I31" s="1">
        <v>137939</v>
      </c>
      <c r="J31" s="1">
        <v>37032</v>
      </c>
      <c r="K31" s="1">
        <v>791417</v>
      </c>
      <c r="L31" s="1">
        <v>258613</v>
      </c>
      <c r="M31" s="1">
        <v>149569</v>
      </c>
      <c r="N31" s="1">
        <v>28624</v>
      </c>
      <c r="O31" s="1">
        <v>1078835</v>
      </c>
      <c r="P31" s="1">
        <v>315688</v>
      </c>
      <c r="Q31" s="1">
        <v>46249</v>
      </c>
      <c r="R31" s="1">
        <v>16790</v>
      </c>
      <c r="S31" s="1">
        <v>1052682</v>
      </c>
      <c r="T31" s="1">
        <v>303351</v>
      </c>
      <c r="U31" s="1">
        <v>41475</v>
      </c>
      <c r="V31" s="1">
        <v>14709</v>
      </c>
      <c r="W31" s="1">
        <v>977674</v>
      </c>
      <c r="X31" s="1">
        <v>292361</v>
      </c>
      <c r="Y31" s="1">
        <v>39602</v>
      </c>
      <c r="Z31" s="1">
        <v>11617</v>
      </c>
      <c r="AA31" s="1">
        <v>905025</v>
      </c>
      <c r="AB31" s="1">
        <v>291793</v>
      </c>
      <c r="AC31" s="1">
        <v>34899</v>
      </c>
      <c r="AD31" s="1">
        <v>9724</v>
      </c>
      <c r="AE31" s="1">
        <v>798674</v>
      </c>
      <c r="AF31" s="1">
        <v>283809</v>
      </c>
      <c r="AG31" s="1">
        <v>34413</v>
      </c>
      <c r="AH31" s="1">
        <v>9514</v>
      </c>
      <c r="AI31" s="1">
        <f t="shared" si="0"/>
        <v>53045.380116959059</v>
      </c>
      <c r="AJ31" s="1">
        <f t="shared" si="1"/>
        <v>52840</v>
      </c>
      <c r="AK31" s="8">
        <f t="shared" si="2"/>
        <v>-3.8717814163310438E-3</v>
      </c>
      <c r="AL31" s="9">
        <f t="shared" si="3"/>
        <v>169768</v>
      </c>
      <c r="AM31" s="8">
        <f t="shared" si="4"/>
        <v>0.2307469243651179</v>
      </c>
      <c r="AN31" s="9">
        <f t="shared" si="5"/>
        <v>57488</v>
      </c>
      <c r="AO31" s="8">
        <f t="shared" si="6"/>
        <v>0.55238712464895223</v>
      </c>
      <c r="AP31" s="8">
        <f t="shared" si="8"/>
        <v>8.3751306395495106E-2</v>
      </c>
      <c r="AT31">
        <v>20.05</v>
      </c>
      <c r="AU31">
        <v>137.69</v>
      </c>
      <c r="AV31">
        <v>107.97</v>
      </c>
    </row>
    <row r="32" spans="1:48" x14ac:dyDescent="0.2">
      <c r="A32" t="s">
        <v>505</v>
      </c>
      <c r="B32">
        <v>288019</v>
      </c>
      <c r="C32" s="1">
        <v>15780</v>
      </c>
      <c r="D32" s="1">
        <v>2088052</v>
      </c>
      <c r="E32" s="2" t="s">
        <v>506</v>
      </c>
      <c r="F32" s="8">
        <f t="shared" si="7"/>
        <v>0.5224071614954412</v>
      </c>
      <c r="G32" s="1">
        <v>2234959</v>
      </c>
      <c r="H32" s="1">
        <v>1106373</v>
      </c>
      <c r="I32" s="1">
        <v>1803849</v>
      </c>
      <c r="J32" s="1">
        <v>142903</v>
      </c>
      <c r="K32" s="1">
        <v>2120979</v>
      </c>
      <c r="L32" s="1">
        <v>984826</v>
      </c>
      <c r="M32" s="1">
        <v>1637805</v>
      </c>
      <c r="N32" s="1">
        <v>153906</v>
      </c>
      <c r="O32" s="1">
        <v>2473785</v>
      </c>
      <c r="P32" s="1">
        <v>1292323</v>
      </c>
      <c r="Q32" s="1">
        <v>535406</v>
      </c>
      <c r="R32" s="1">
        <v>43550</v>
      </c>
      <c r="S32" s="1">
        <v>2372667</v>
      </c>
      <c r="T32" s="1">
        <v>1154769</v>
      </c>
      <c r="U32" s="1">
        <v>531883</v>
      </c>
      <c r="V32" s="1">
        <v>39792</v>
      </c>
      <c r="W32" s="1">
        <v>2370446</v>
      </c>
      <c r="X32" s="1">
        <v>1176726</v>
      </c>
      <c r="Y32" s="1">
        <v>499906</v>
      </c>
      <c r="Z32" s="1">
        <v>39067</v>
      </c>
      <c r="AA32" s="1">
        <v>2234959</v>
      </c>
      <c r="AB32" s="1">
        <v>1106373</v>
      </c>
      <c r="AC32" s="1">
        <v>452723</v>
      </c>
      <c r="AD32" s="1">
        <v>28551</v>
      </c>
      <c r="AE32" s="1">
        <v>2238860</v>
      </c>
      <c r="AF32" s="1">
        <v>1120230</v>
      </c>
      <c r="AG32" s="1">
        <v>472564</v>
      </c>
      <c r="AH32" s="1">
        <v>40510</v>
      </c>
      <c r="AI32" s="1">
        <f t="shared" si="0"/>
        <v>150979.89877078813</v>
      </c>
      <c r="AJ32" s="1">
        <f t="shared" si="1"/>
        <v>150960</v>
      </c>
      <c r="AK32" s="8">
        <f t="shared" si="2"/>
        <v>-1.317974839706304E-4</v>
      </c>
      <c r="AL32" s="9">
        <f t="shared" si="3"/>
        <v>2089593.3333333333</v>
      </c>
      <c r="AM32" s="8">
        <f t="shared" si="4"/>
        <v>0.15840812248327518</v>
      </c>
      <c r="AN32" s="9">
        <f t="shared" si="5"/>
        <v>163212</v>
      </c>
      <c r="AO32" s="8">
        <f t="shared" si="6"/>
        <v>0.14211738032091703</v>
      </c>
      <c r="AP32" s="8">
        <f t="shared" si="8"/>
        <v>8.101807809384054E-2</v>
      </c>
      <c r="AT32">
        <v>4.42</v>
      </c>
      <c r="AU32">
        <v>13.87</v>
      </c>
      <c r="AV32">
        <v>10.44</v>
      </c>
    </row>
    <row r="33" spans="1:48" x14ac:dyDescent="0.2">
      <c r="A33" t="s">
        <v>536</v>
      </c>
      <c r="B33">
        <v>1091685</v>
      </c>
      <c r="C33" s="1">
        <v>1088</v>
      </c>
      <c r="D33" s="1">
        <v>785605</v>
      </c>
      <c r="E33" s="2" t="s">
        <v>537</v>
      </c>
      <c r="F33" s="8">
        <f t="shared" si="7"/>
        <v>0.53743857493857483</v>
      </c>
      <c r="G33" s="1">
        <v>520244.56</v>
      </c>
      <c r="H33" s="1">
        <v>298258.96000000002</v>
      </c>
      <c r="I33" s="1">
        <v>557535.14</v>
      </c>
      <c r="J33" s="1">
        <v>30930.21</v>
      </c>
      <c r="K33" s="1">
        <v>450023.66</v>
      </c>
      <c r="L33" s="1">
        <v>279630.83</v>
      </c>
      <c r="M33" s="1">
        <v>493602.07</v>
      </c>
      <c r="N33" s="1">
        <v>-5027.0200000000004</v>
      </c>
      <c r="O33" s="1">
        <v>538216.80000000005</v>
      </c>
      <c r="P33" s="1">
        <v>289258.46999999997</v>
      </c>
      <c r="Q33" s="1">
        <v>158165.65</v>
      </c>
      <c r="R33" s="1">
        <v>13812.47</v>
      </c>
      <c r="S33" s="1">
        <v>529511.9</v>
      </c>
      <c r="T33" s="1">
        <v>280931.43</v>
      </c>
      <c r="U33" s="1">
        <v>149753.89000000001</v>
      </c>
      <c r="V33" s="1">
        <v>4865.8</v>
      </c>
      <c r="W33" s="1">
        <v>563455.44999999995</v>
      </c>
      <c r="X33" s="1">
        <v>321290.96000000002</v>
      </c>
      <c r="Y33" s="1">
        <v>152162.87</v>
      </c>
      <c r="Z33" s="1">
        <v>16924.34</v>
      </c>
      <c r="AA33" s="1">
        <v>520244.56</v>
      </c>
      <c r="AB33" s="1">
        <v>298258.96000000002</v>
      </c>
      <c r="AC33" s="1">
        <v>149162.29999999999</v>
      </c>
      <c r="AD33" s="1">
        <v>8493.86</v>
      </c>
      <c r="AE33" s="1">
        <v>504040.61</v>
      </c>
      <c r="AF33" s="1">
        <v>294451.57</v>
      </c>
      <c r="AG33" s="1">
        <v>158246.34</v>
      </c>
      <c r="AH33" s="1">
        <v>9300.9699999999993</v>
      </c>
      <c r="AI33" s="1">
        <f t="shared" si="0"/>
        <v>44135.112359550563</v>
      </c>
      <c r="AJ33" s="1">
        <f t="shared" si="1"/>
        <v>44096.47</v>
      </c>
      <c r="AK33" s="8">
        <f t="shared" si="2"/>
        <v>-8.755468715193615E-4</v>
      </c>
      <c r="AL33" s="9">
        <f t="shared" si="3"/>
        <v>613443.21333333338</v>
      </c>
      <c r="AM33" s="8">
        <f t="shared" si="4"/>
        <v>0.10027721899884789</v>
      </c>
      <c r="AN33" s="9">
        <f t="shared" si="5"/>
        <v>47470.146666666667</v>
      </c>
      <c r="AO33" s="8">
        <f t="shared" si="6"/>
        <v>0.53475022208600165</v>
      </c>
      <c r="AP33" s="8">
        <f t="shared" si="8"/>
        <v>7.556419659582958E-2</v>
      </c>
      <c r="AT33">
        <v>-4.82</v>
      </c>
      <c r="AU33">
        <v>55.47</v>
      </c>
      <c r="AV33">
        <v>308.39</v>
      </c>
    </row>
    <row r="34" spans="1:48" x14ac:dyDescent="0.2">
      <c r="A34" t="s">
        <v>302</v>
      </c>
      <c r="B34">
        <v>130013</v>
      </c>
      <c r="C34" s="1">
        <v>4527</v>
      </c>
      <c r="D34" s="1">
        <v>629326</v>
      </c>
      <c r="E34" s="2" t="s">
        <v>303</v>
      </c>
      <c r="F34" s="8">
        <f t="shared" si="7"/>
        <v>0.44100766797063728</v>
      </c>
      <c r="G34" s="1">
        <v>484229</v>
      </c>
      <c r="H34" s="1">
        <v>212623</v>
      </c>
      <c r="I34" s="1">
        <v>481595</v>
      </c>
      <c r="J34" s="1">
        <v>49839</v>
      </c>
      <c r="K34" s="1">
        <v>442465</v>
      </c>
      <c r="L34" s="1">
        <v>188399</v>
      </c>
      <c r="M34" s="1">
        <v>398568</v>
      </c>
      <c r="N34" s="1">
        <v>67648</v>
      </c>
      <c r="O34" s="1">
        <v>513304</v>
      </c>
      <c r="P34" s="1">
        <v>226371</v>
      </c>
      <c r="Q34" s="1">
        <v>136738</v>
      </c>
      <c r="R34" s="1">
        <v>11608</v>
      </c>
      <c r="S34" s="1">
        <v>489387</v>
      </c>
      <c r="T34" s="1">
        <v>224716</v>
      </c>
      <c r="U34" s="1">
        <v>139556</v>
      </c>
      <c r="V34" s="1">
        <v>12478</v>
      </c>
      <c r="W34" s="1">
        <v>474176</v>
      </c>
      <c r="X34" s="1">
        <v>215982</v>
      </c>
      <c r="Y34" s="1">
        <v>126411</v>
      </c>
      <c r="Z34" s="1">
        <v>14247</v>
      </c>
      <c r="AA34" s="1">
        <v>484229</v>
      </c>
      <c r="AB34" s="1">
        <v>212623</v>
      </c>
      <c r="AC34" s="1">
        <v>124815</v>
      </c>
      <c r="AD34" s="1">
        <v>10955</v>
      </c>
      <c r="AE34" s="1">
        <v>466699</v>
      </c>
      <c r="AF34" s="1">
        <v>205932</v>
      </c>
      <c r="AG34" s="1">
        <v>142000</v>
      </c>
      <c r="AH34" s="1">
        <v>16565</v>
      </c>
      <c r="AI34" s="1">
        <f t="shared" si="0"/>
        <v>47604.084720121027</v>
      </c>
      <c r="AJ34" s="1">
        <f t="shared" si="1"/>
        <v>49288</v>
      </c>
      <c r="AK34" s="8">
        <f t="shared" si="2"/>
        <v>3.5373335918109206E-2</v>
      </c>
      <c r="AL34" s="9">
        <f t="shared" si="3"/>
        <v>536940</v>
      </c>
      <c r="AM34" s="8">
        <f t="shared" si="4"/>
        <v>0.114920213042079</v>
      </c>
      <c r="AN34" s="9">
        <f t="shared" si="5"/>
        <v>51110.666666666664</v>
      </c>
      <c r="AO34" s="8">
        <f t="shared" si="6"/>
        <v>2.551549322150648E-2</v>
      </c>
      <c r="AP34" s="8">
        <f t="shared" si="8"/>
        <v>7.3661366816774265E-2</v>
      </c>
      <c r="AT34">
        <v>1.82</v>
      </c>
      <c r="AU34">
        <v>17.41</v>
      </c>
      <c r="AV34">
        <v>179.28</v>
      </c>
    </row>
    <row r="35" spans="1:48" x14ac:dyDescent="0.2">
      <c r="A35" t="s">
        <v>577</v>
      </c>
      <c r="B35">
        <v>1094119</v>
      </c>
      <c r="C35" s="1">
        <v>2197</v>
      </c>
      <c r="D35" s="1">
        <v>1267261</v>
      </c>
      <c r="E35" s="2" t="s">
        <v>578</v>
      </c>
      <c r="F35" s="8">
        <f t="shared" si="7"/>
        <v>0.70314148457103287</v>
      </c>
      <c r="G35" s="1">
        <v>1357614.01</v>
      </c>
      <c r="H35" s="1">
        <v>946265.23</v>
      </c>
      <c r="I35" s="1">
        <v>586995.6</v>
      </c>
      <c r="J35" s="1">
        <v>52742.92</v>
      </c>
      <c r="K35" s="1">
        <v>1287247.72</v>
      </c>
      <c r="L35" s="1">
        <v>885064.19</v>
      </c>
      <c r="M35" s="1">
        <v>516916.43</v>
      </c>
      <c r="N35" s="1">
        <v>30046.07</v>
      </c>
      <c r="O35" s="1">
        <v>1247056.26</v>
      </c>
      <c r="P35" s="1">
        <v>876856.99</v>
      </c>
      <c r="Q35" s="1">
        <v>155415.06</v>
      </c>
      <c r="R35" s="1">
        <v>17508.580000000002</v>
      </c>
      <c r="S35" s="1">
        <v>1241479.3500000001</v>
      </c>
      <c r="T35" s="1">
        <v>876564.88</v>
      </c>
      <c r="U35" s="1">
        <v>150910.49</v>
      </c>
      <c r="V35" s="1">
        <v>24871.87</v>
      </c>
      <c r="W35" s="1">
        <v>1394640.37</v>
      </c>
      <c r="X35" s="1">
        <v>936776.11</v>
      </c>
      <c r="Y35" s="1">
        <v>163658.92000000001</v>
      </c>
      <c r="Z35" s="1">
        <v>14738.15</v>
      </c>
      <c r="AA35" s="1">
        <v>1357614.01</v>
      </c>
      <c r="AB35" s="1">
        <v>946265.23</v>
      </c>
      <c r="AC35" s="1">
        <v>142251.24</v>
      </c>
      <c r="AD35" s="1">
        <v>13887.78</v>
      </c>
      <c r="AE35" s="1">
        <v>1302985.3999999999</v>
      </c>
      <c r="AF35" s="1">
        <v>947048</v>
      </c>
      <c r="AG35" s="1">
        <v>154855.4</v>
      </c>
      <c r="AH35" s="1">
        <v>14331.73</v>
      </c>
      <c r="AI35" s="1">
        <f t="shared" si="0"/>
        <v>70995.014005602236</v>
      </c>
      <c r="AJ35" s="1">
        <f t="shared" si="1"/>
        <v>71006.38</v>
      </c>
      <c r="AK35" s="8">
        <f t="shared" si="2"/>
        <v>1.6009567089980692E-4</v>
      </c>
      <c r="AL35" s="9">
        <f t="shared" si="3"/>
        <v>626645.96000000008</v>
      </c>
      <c r="AM35" s="8">
        <f t="shared" si="4"/>
        <v>6.7547967991583135E-2</v>
      </c>
      <c r="AN35" s="9">
        <f t="shared" si="5"/>
        <v>76158.133333333331</v>
      </c>
      <c r="AO35" s="8">
        <f t="shared" si="6"/>
        <v>0.44394988622801579</v>
      </c>
      <c r="AP35" s="8">
        <f t="shared" si="8"/>
        <v>7.2725097671276995E-2</v>
      </c>
      <c r="AT35">
        <v>-5.86</v>
      </c>
      <c r="AU35">
        <v>8.85</v>
      </c>
      <c r="AV35">
        <v>56.55</v>
      </c>
    </row>
    <row r="36" spans="1:48" x14ac:dyDescent="0.2">
      <c r="A36" t="s">
        <v>423</v>
      </c>
      <c r="B36">
        <v>1203181</v>
      </c>
      <c r="C36" s="1">
        <v>2285</v>
      </c>
      <c r="D36" s="1">
        <v>1002752</v>
      </c>
      <c r="E36" s="2" t="s">
        <v>424</v>
      </c>
      <c r="G36" s="1">
        <v>293988</v>
      </c>
      <c r="H36" s="1">
        <v>151157</v>
      </c>
      <c r="I36" s="1">
        <v>187402</v>
      </c>
      <c r="J36" s="1">
        <v>48242</v>
      </c>
      <c r="K36" s="1">
        <v>243619</v>
      </c>
      <c r="L36" s="1">
        <v>158225</v>
      </c>
      <c r="M36" s="1">
        <v>162235</v>
      </c>
      <c r="N36" s="1">
        <v>40162</v>
      </c>
      <c r="O36" s="1">
        <v>346292</v>
      </c>
      <c r="P36" s="1">
        <v>167695</v>
      </c>
      <c r="Q36" s="1">
        <v>58178</v>
      </c>
      <c r="R36" s="1">
        <v>15997</v>
      </c>
      <c r="S36" s="1">
        <v>428081</v>
      </c>
      <c r="T36" s="1">
        <v>161105</v>
      </c>
      <c r="U36" s="1">
        <v>52842</v>
      </c>
      <c r="V36" s="1">
        <v>13386</v>
      </c>
      <c r="W36" s="1">
        <v>423283</v>
      </c>
      <c r="X36" s="1">
        <v>156597</v>
      </c>
      <c r="Y36" s="1">
        <v>51633</v>
      </c>
      <c r="Z36" s="1">
        <v>14121</v>
      </c>
      <c r="AA36" s="1">
        <v>293988</v>
      </c>
      <c r="AB36" s="1">
        <v>151157</v>
      </c>
      <c r="AC36" s="1">
        <v>53380</v>
      </c>
      <c r="AD36" s="1">
        <v>15481</v>
      </c>
      <c r="AE36" s="1">
        <v>305254</v>
      </c>
      <c r="AF36" s="1">
        <v>144693</v>
      </c>
      <c r="AG36" s="1">
        <v>46118</v>
      </c>
      <c r="AH36" s="1">
        <v>11740</v>
      </c>
      <c r="AI36" s="1">
        <f t="shared" si="0"/>
        <v>54290.850027070926</v>
      </c>
      <c r="AJ36" s="1">
        <f t="shared" si="1"/>
        <v>58985</v>
      </c>
      <c r="AK36" s="8">
        <f t="shared" si="2"/>
        <v>8.6463003813505246E-2</v>
      </c>
      <c r="AL36" s="9">
        <f t="shared" si="3"/>
        <v>216870.66666666666</v>
      </c>
      <c r="AM36" s="8">
        <f t="shared" si="4"/>
        <v>0.15724841072489437</v>
      </c>
      <c r="AN36" s="9">
        <f t="shared" si="5"/>
        <v>58005.333333333336</v>
      </c>
      <c r="AO36" s="8">
        <f t="shared" si="6"/>
        <v>0.20238243301134573</v>
      </c>
      <c r="AP36" s="8">
        <f t="shared" si="8"/>
        <v>6.8418219725980833E-2</v>
      </c>
      <c r="AT36">
        <v>0</v>
      </c>
      <c r="AU36">
        <v>107.66</v>
      </c>
      <c r="AV36">
        <v>0</v>
      </c>
    </row>
    <row r="37" spans="1:48" x14ac:dyDescent="0.2">
      <c r="A37" t="s">
        <v>171</v>
      </c>
      <c r="B37">
        <v>1091651</v>
      </c>
      <c r="C37" s="1">
        <v>5477</v>
      </c>
      <c r="D37" s="1">
        <v>1354502</v>
      </c>
      <c r="E37" s="2" t="s">
        <v>172</v>
      </c>
      <c r="G37" s="1">
        <v>1291800.25</v>
      </c>
      <c r="H37" s="1">
        <v>595595.23</v>
      </c>
      <c r="I37" s="1">
        <v>1437060.26</v>
      </c>
      <c r="J37" s="1">
        <v>88600.22</v>
      </c>
      <c r="K37" s="1">
        <v>1262362.8700000001</v>
      </c>
      <c r="L37" s="1">
        <v>568191.32999999996</v>
      </c>
      <c r="M37" s="1">
        <v>1310076.06</v>
      </c>
      <c r="N37" s="1">
        <v>98012.42</v>
      </c>
      <c r="O37" s="1">
        <v>1312928.31</v>
      </c>
      <c r="P37" s="1">
        <v>610687.62</v>
      </c>
      <c r="Q37" s="1">
        <v>344366.18</v>
      </c>
      <c r="R37" s="1">
        <v>23429.62</v>
      </c>
      <c r="S37" s="1">
        <v>1338589.58</v>
      </c>
      <c r="T37" s="1">
        <v>599163.93000000005</v>
      </c>
      <c r="U37" s="1">
        <v>373091.57</v>
      </c>
      <c r="V37" s="1">
        <v>30759.38</v>
      </c>
      <c r="W37" s="1">
        <v>1349793.85</v>
      </c>
      <c r="X37" s="1">
        <v>644452.07999999996</v>
      </c>
      <c r="Y37" s="1">
        <v>385270.31</v>
      </c>
      <c r="Z37" s="1">
        <v>26777.040000000001</v>
      </c>
      <c r="AA37" s="1">
        <v>1291800.25</v>
      </c>
      <c r="AB37" s="1">
        <v>595595.23</v>
      </c>
      <c r="AC37" s="1">
        <v>364886</v>
      </c>
      <c r="AD37" s="1">
        <v>18873.23</v>
      </c>
      <c r="AE37" s="1">
        <v>1354661.99</v>
      </c>
      <c r="AF37" s="1">
        <v>607879.80000000005</v>
      </c>
      <c r="AG37" s="1">
        <v>365386.77</v>
      </c>
      <c r="AH37" s="1">
        <v>22404.69</v>
      </c>
      <c r="AI37" s="1">
        <f t="shared" si="0"/>
        <v>101842.25563909774</v>
      </c>
      <c r="AJ37" s="1">
        <f t="shared" si="1"/>
        <v>99839.27</v>
      </c>
      <c r="AK37" s="8">
        <f t="shared" si="2"/>
        <v>-1.9667530206673667E-2</v>
      </c>
      <c r="AL37" s="9">
        <f t="shared" si="3"/>
        <v>1470304.08</v>
      </c>
      <c r="AM37" s="8">
        <f t="shared" si="4"/>
        <v>2.313321224260978E-2</v>
      </c>
      <c r="AN37" s="9">
        <f t="shared" si="5"/>
        <v>107954.71999999999</v>
      </c>
      <c r="AO37" s="8">
        <f t="shared" si="6"/>
        <v>0.21844753884358292</v>
      </c>
      <c r="AP37" s="8">
        <f t="shared" si="8"/>
        <v>6.0018941278787263E-2</v>
      </c>
      <c r="AT37">
        <v>-5.27</v>
      </c>
      <c r="AU37">
        <v>5.3</v>
      </c>
      <c r="AV37">
        <v>27.34</v>
      </c>
    </row>
    <row r="38" spans="1:48" x14ac:dyDescent="0.2">
      <c r="A38" t="s">
        <v>625</v>
      </c>
      <c r="B38">
        <v>1138379</v>
      </c>
      <c r="C38" s="1">
        <v>1974</v>
      </c>
      <c r="D38" s="1">
        <v>205267</v>
      </c>
      <c r="E38" s="2" t="s">
        <v>626</v>
      </c>
      <c r="G38" s="1">
        <v>485559</v>
      </c>
      <c r="H38" s="1">
        <v>164779</v>
      </c>
      <c r="I38" s="1">
        <v>366625</v>
      </c>
      <c r="J38" s="1">
        <v>13973</v>
      </c>
      <c r="K38" s="1">
        <v>483954</v>
      </c>
      <c r="L38" s="1">
        <v>150107</v>
      </c>
      <c r="M38" s="1">
        <v>329015</v>
      </c>
      <c r="N38" s="1">
        <v>8466</v>
      </c>
      <c r="O38" s="1">
        <v>525180</v>
      </c>
      <c r="P38" s="1">
        <v>173614</v>
      </c>
      <c r="Q38" s="1">
        <v>120214</v>
      </c>
      <c r="R38" s="1">
        <v>5501</v>
      </c>
      <c r="S38" s="1">
        <v>516096</v>
      </c>
      <c r="T38" s="1">
        <v>168975</v>
      </c>
      <c r="U38" s="1">
        <v>102997</v>
      </c>
      <c r="V38" s="1">
        <v>3410</v>
      </c>
      <c r="W38" s="1">
        <v>509884</v>
      </c>
      <c r="X38" s="1">
        <v>165267</v>
      </c>
      <c r="Y38" s="1">
        <v>103885</v>
      </c>
      <c r="Z38" s="1">
        <v>4310</v>
      </c>
      <c r="AA38" s="1">
        <v>485559</v>
      </c>
      <c r="AB38" s="1">
        <v>164779</v>
      </c>
      <c r="AC38" s="1">
        <v>96588</v>
      </c>
      <c r="AD38" s="1">
        <v>3409</v>
      </c>
      <c r="AE38" s="1">
        <v>490247</v>
      </c>
      <c r="AF38" s="1">
        <v>160978</v>
      </c>
      <c r="AG38" s="1">
        <v>95352</v>
      </c>
      <c r="AH38" s="1">
        <v>4370</v>
      </c>
      <c r="AI38" s="1">
        <f t="shared" si="0"/>
        <v>16634.278768233387</v>
      </c>
      <c r="AJ38" s="1">
        <f t="shared" si="1"/>
        <v>16630</v>
      </c>
      <c r="AK38" s="8">
        <f t="shared" si="2"/>
        <v>-2.5722595448851582E-4</v>
      </c>
      <c r="AL38" s="9">
        <f t="shared" si="3"/>
        <v>436128</v>
      </c>
      <c r="AM38" s="8">
        <f t="shared" si="4"/>
        <v>0.18957517899761345</v>
      </c>
      <c r="AN38" s="9">
        <f t="shared" si="5"/>
        <v>17628</v>
      </c>
      <c r="AO38" s="8">
        <f t="shared" si="6"/>
        <v>0.26157589637157375</v>
      </c>
      <c r="AP38" s="8">
        <f t="shared" si="8"/>
        <v>5.9739363852933103E-2</v>
      </c>
      <c r="AT38">
        <v>-13.46</v>
      </c>
      <c r="AU38">
        <v>71.92</v>
      </c>
      <c r="AV38">
        <v>27.38</v>
      </c>
    </row>
    <row r="39" spans="1:48" x14ac:dyDescent="0.2">
      <c r="A39" t="s">
        <v>269</v>
      </c>
      <c r="B39">
        <v>639013</v>
      </c>
      <c r="C39" s="1">
        <v>882.2</v>
      </c>
      <c r="D39" s="1">
        <v>1248512</v>
      </c>
      <c r="E39" s="2" t="s">
        <v>270</v>
      </c>
      <c r="G39" s="1">
        <v>23829000</v>
      </c>
      <c r="H39" s="1">
        <v>1828000</v>
      </c>
      <c r="I39" s="1">
        <v>973000</v>
      </c>
      <c r="J39" s="1">
        <v>31000</v>
      </c>
      <c r="K39" s="1">
        <v>29443000</v>
      </c>
      <c r="L39" s="1">
        <v>1710000</v>
      </c>
      <c r="M39" s="1">
        <v>1131000</v>
      </c>
      <c r="N39" s="1">
        <v>-698000</v>
      </c>
      <c r="O39" s="1">
        <v>25470000</v>
      </c>
      <c r="P39" s="1">
        <v>1876000</v>
      </c>
      <c r="Q39" s="1">
        <v>235000</v>
      </c>
      <c r="R39" s="1">
        <v>-16000</v>
      </c>
      <c r="S39" s="1">
        <v>25601000</v>
      </c>
      <c r="T39" s="1">
        <v>1902000</v>
      </c>
      <c r="U39" s="1">
        <v>217000</v>
      </c>
      <c r="V39" s="1">
        <v>22000</v>
      </c>
      <c r="W39" s="1">
        <v>24352000</v>
      </c>
      <c r="X39" s="1">
        <v>1927000</v>
      </c>
      <c r="Y39" s="1">
        <v>215000</v>
      </c>
      <c r="Z39" s="1">
        <v>87000</v>
      </c>
      <c r="AA39" s="1">
        <v>23829000</v>
      </c>
      <c r="AB39" s="1">
        <v>1828000</v>
      </c>
      <c r="AC39" s="1">
        <v>210000</v>
      </c>
      <c r="AD39" s="1">
        <v>24000</v>
      </c>
      <c r="AE39" s="1">
        <v>24925000</v>
      </c>
      <c r="AF39" s="1">
        <v>1816000</v>
      </c>
      <c r="AG39" s="1">
        <v>225000</v>
      </c>
      <c r="AH39" s="1">
        <v>-109000</v>
      </c>
      <c r="AI39" s="1">
        <f t="shared" si="0"/>
        <v>117011.43392689785</v>
      </c>
      <c r="AJ39" s="1">
        <f t="shared" si="1"/>
        <v>117000</v>
      </c>
      <c r="AK39" s="8">
        <f t="shared" si="2"/>
        <v>-9.7716321509233595E-5</v>
      </c>
      <c r="AL39" s="9">
        <f t="shared" si="3"/>
        <v>889333.33333333337</v>
      </c>
      <c r="AM39" s="8">
        <f t="shared" si="4"/>
        <v>-8.598835217540246E-2</v>
      </c>
      <c r="AN39" s="9">
        <f t="shared" si="5"/>
        <v>124000</v>
      </c>
      <c r="AO39" s="8">
        <f t="shared" si="6"/>
        <v>3</v>
      </c>
      <c r="AP39" s="8">
        <f t="shared" si="8"/>
        <v>5.9725497231904789E-2</v>
      </c>
      <c r="AT39">
        <v>16.739999999999998</v>
      </c>
      <c r="AU39">
        <v>90.55</v>
      </c>
      <c r="AV39">
        <v>37.22</v>
      </c>
    </row>
    <row r="40" spans="1:48" x14ac:dyDescent="0.2">
      <c r="A40" t="s">
        <v>206</v>
      </c>
      <c r="B40">
        <v>1212539</v>
      </c>
      <c r="C40" s="1">
        <v>4000</v>
      </c>
      <c r="D40" s="1">
        <v>1520051</v>
      </c>
      <c r="E40" s="2" t="s">
        <v>207</v>
      </c>
      <c r="G40" s="1">
        <v>921807</v>
      </c>
      <c r="H40" s="1">
        <v>210904</v>
      </c>
      <c r="I40" s="1">
        <v>1232471</v>
      </c>
      <c r="J40" s="1">
        <v>97362</v>
      </c>
      <c r="K40" s="1">
        <v>744551</v>
      </c>
      <c r="L40" s="1">
        <v>139445</v>
      </c>
      <c r="M40" s="1">
        <v>1009463</v>
      </c>
      <c r="N40" s="1">
        <v>-31540</v>
      </c>
      <c r="O40" s="1">
        <v>978783</v>
      </c>
      <c r="P40" s="1">
        <v>465338</v>
      </c>
      <c r="Q40" s="1">
        <v>428617</v>
      </c>
      <c r="R40" s="1">
        <v>32499</v>
      </c>
      <c r="S40" s="1">
        <v>916614</v>
      </c>
      <c r="T40" s="1">
        <v>443197</v>
      </c>
      <c r="U40" s="1">
        <v>355651</v>
      </c>
      <c r="V40" s="1">
        <v>25508</v>
      </c>
      <c r="W40" s="1">
        <v>1020683</v>
      </c>
      <c r="X40" s="1">
        <v>428093</v>
      </c>
      <c r="Y40" s="1">
        <v>394942</v>
      </c>
      <c r="Z40" s="1">
        <v>30183</v>
      </c>
      <c r="AA40" s="1">
        <v>921807</v>
      </c>
      <c r="AB40" s="1">
        <v>210904</v>
      </c>
      <c r="AC40" s="1">
        <v>314606</v>
      </c>
      <c r="AD40" s="1">
        <v>26826</v>
      </c>
      <c r="AE40" s="1">
        <v>912506</v>
      </c>
      <c r="AF40" s="1">
        <v>210098</v>
      </c>
      <c r="AG40" s="1">
        <v>376586</v>
      </c>
      <c r="AH40" s="1">
        <v>33862</v>
      </c>
      <c r="AI40" s="1">
        <f t="shared" si="0"/>
        <v>111359.04761904762</v>
      </c>
      <c r="AJ40" s="1">
        <f t="shared" si="1"/>
        <v>115016</v>
      </c>
      <c r="AK40" s="8">
        <f t="shared" si="2"/>
        <v>3.2839292892146377E-2</v>
      </c>
      <c r="AL40" s="9">
        <f t="shared" si="3"/>
        <v>1572280</v>
      </c>
      <c r="AM40" s="8">
        <f t="shared" si="4"/>
        <v>0.27571358676999291</v>
      </c>
      <c r="AN40" s="9">
        <f t="shared" si="5"/>
        <v>117586.66666666667</v>
      </c>
      <c r="AO40" s="8">
        <f t="shared" si="6"/>
        <v>0.20772649151277367</v>
      </c>
      <c r="AP40" s="8">
        <f t="shared" si="8"/>
        <v>5.5923781504699566E-2</v>
      </c>
      <c r="AT40">
        <v>12.72</v>
      </c>
      <c r="AU40">
        <v>0</v>
      </c>
      <c r="AV40">
        <v>0</v>
      </c>
    </row>
    <row r="41" spans="1:48" x14ac:dyDescent="0.2">
      <c r="A41" t="s">
        <v>67</v>
      </c>
      <c r="B41">
        <v>1104496</v>
      </c>
      <c r="C41" s="1">
        <v>127.5</v>
      </c>
      <c r="D41" s="1">
        <v>118965</v>
      </c>
      <c r="E41" s="2" t="s">
        <v>68</v>
      </c>
      <c r="G41" s="1">
        <v>143436</v>
      </c>
      <c r="H41" s="1">
        <v>50120</v>
      </c>
      <c r="I41" s="1">
        <v>182223</v>
      </c>
      <c r="J41" s="1">
        <v>8732</v>
      </c>
      <c r="K41" s="1">
        <v>132708</v>
      </c>
      <c r="L41" s="1">
        <v>41222</v>
      </c>
      <c r="M41" s="1">
        <v>164669</v>
      </c>
      <c r="N41" s="1">
        <v>6262</v>
      </c>
      <c r="O41" s="1">
        <v>146773</v>
      </c>
      <c r="P41" s="1">
        <v>62592</v>
      </c>
      <c r="Q41" s="1">
        <v>50664</v>
      </c>
      <c r="R41" s="1">
        <v>3643</v>
      </c>
      <c r="S41" s="1">
        <v>147840</v>
      </c>
      <c r="T41" s="1">
        <v>58949</v>
      </c>
      <c r="U41" s="1">
        <v>50116</v>
      </c>
      <c r="V41" s="1">
        <v>6893</v>
      </c>
      <c r="W41" s="1">
        <v>146090</v>
      </c>
      <c r="X41" s="1">
        <v>52066</v>
      </c>
      <c r="Y41" s="1">
        <v>48473</v>
      </c>
      <c r="Z41" s="1">
        <v>1936</v>
      </c>
      <c r="AA41" s="1">
        <v>143436</v>
      </c>
      <c r="AB41" s="1">
        <v>50120</v>
      </c>
      <c r="AC41" s="1">
        <v>50130</v>
      </c>
      <c r="AD41" s="1">
        <v>3332</v>
      </c>
      <c r="AE41" s="1">
        <v>137187</v>
      </c>
      <c r="AF41" s="1">
        <v>46622</v>
      </c>
      <c r="AG41" s="1">
        <v>47695</v>
      </c>
      <c r="AH41" s="1">
        <v>1319</v>
      </c>
      <c r="AI41" s="1">
        <f t="shared" si="0"/>
        <v>15798.804780876493</v>
      </c>
      <c r="AJ41" s="1">
        <f t="shared" si="1"/>
        <v>15804</v>
      </c>
      <c r="AK41" s="8">
        <f t="shared" si="2"/>
        <v>3.2883621233148475E-4</v>
      </c>
      <c r="AL41" s="9">
        <f t="shared" si="3"/>
        <v>199004</v>
      </c>
      <c r="AM41" s="8">
        <f t="shared" si="4"/>
        <v>9.2090460589497436E-2</v>
      </c>
      <c r="AN41" s="9">
        <f t="shared" si="5"/>
        <v>16629.333333333332</v>
      </c>
      <c r="AO41" s="8">
        <f t="shared" si="6"/>
        <v>0.90441288746373472</v>
      </c>
      <c r="AP41" s="8">
        <f t="shared" si="8"/>
        <v>5.2569074938006999E-2</v>
      </c>
      <c r="AT41">
        <v>6.21</v>
      </c>
      <c r="AU41">
        <v>82.42</v>
      </c>
      <c r="AV41">
        <v>139.77000000000001</v>
      </c>
    </row>
    <row r="42" spans="1:48" x14ac:dyDescent="0.2">
      <c r="A42" t="s">
        <v>549</v>
      </c>
      <c r="B42">
        <v>333013</v>
      </c>
      <c r="C42" s="1">
        <v>358.1</v>
      </c>
      <c r="D42" s="1">
        <v>799345</v>
      </c>
      <c r="E42" s="2" t="s">
        <v>457</v>
      </c>
      <c r="G42" s="1">
        <v>1677272</v>
      </c>
      <c r="H42" s="1">
        <v>529575</v>
      </c>
      <c r="I42" s="1">
        <v>183232</v>
      </c>
      <c r="J42" s="1">
        <v>51307</v>
      </c>
      <c r="K42" s="1">
        <v>1408472</v>
      </c>
      <c r="L42" s="1">
        <v>507061</v>
      </c>
      <c r="M42" s="1">
        <v>122244</v>
      </c>
      <c r="N42" s="1">
        <v>53800</v>
      </c>
      <c r="O42" s="1">
        <v>1784024</v>
      </c>
      <c r="P42" s="1">
        <v>555415</v>
      </c>
      <c r="Q42" s="1">
        <v>57325</v>
      </c>
      <c r="R42" s="1">
        <v>19880</v>
      </c>
      <c r="S42" s="1">
        <v>1941200</v>
      </c>
      <c r="T42" s="1">
        <v>546394</v>
      </c>
      <c r="U42" s="1">
        <v>54481</v>
      </c>
      <c r="V42" s="1">
        <v>18471</v>
      </c>
      <c r="W42" s="1">
        <v>1678774</v>
      </c>
      <c r="X42" s="1">
        <v>538313</v>
      </c>
      <c r="Y42" s="1">
        <v>54357</v>
      </c>
      <c r="Z42" s="1">
        <v>17534</v>
      </c>
      <c r="AA42" s="1">
        <v>1677272</v>
      </c>
      <c r="AB42" s="1">
        <v>529575</v>
      </c>
      <c r="AC42" s="1">
        <v>62478</v>
      </c>
      <c r="AD42" s="1">
        <v>15000</v>
      </c>
      <c r="AE42" s="1">
        <v>1520471</v>
      </c>
      <c r="AF42" s="1">
        <v>523315</v>
      </c>
      <c r="AG42" s="1">
        <v>50173</v>
      </c>
      <c r="AH42" s="1">
        <v>15162</v>
      </c>
      <c r="AI42" s="1">
        <f t="shared" si="0"/>
        <v>70863.918439716319</v>
      </c>
      <c r="AJ42" s="1">
        <f t="shared" si="1"/>
        <v>70885</v>
      </c>
      <c r="AK42" s="8">
        <f t="shared" si="2"/>
        <v>2.9749357286279476E-4</v>
      </c>
      <c r="AL42" s="9">
        <f t="shared" si="3"/>
        <v>221550.66666666666</v>
      </c>
      <c r="AM42" s="8">
        <f t="shared" si="4"/>
        <v>0.20912649901036207</v>
      </c>
      <c r="AN42" s="9">
        <f t="shared" si="5"/>
        <v>74513.333333333328</v>
      </c>
      <c r="AO42" s="8">
        <f t="shared" si="6"/>
        <v>0.45230345436944908</v>
      </c>
      <c r="AP42" s="8">
        <f t="shared" si="8"/>
        <v>5.1498914736440193E-2</v>
      </c>
      <c r="AT42">
        <v>0.87</v>
      </c>
      <c r="AU42">
        <v>89.84</v>
      </c>
      <c r="AV42">
        <v>128.51</v>
      </c>
    </row>
    <row r="43" spans="1:48" x14ac:dyDescent="0.2">
      <c r="A43" t="s">
        <v>250</v>
      </c>
      <c r="B43">
        <v>1147487</v>
      </c>
      <c r="C43" s="1">
        <v>50600</v>
      </c>
      <c r="D43" s="1">
        <v>625943</v>
      </c>
      <c r="E43" s="2" t="s">
        <v>251</v>
      </c>
      <c r="G43" s="1">
        <v>576137</v>
      </c>
      <c r="H43" s="1">
        <v>76522</v>
      </c>
      <c r="I43" s="1">
        <v>3655722</v>
      </c>
      <c r="J43" s="1">
        <v>74104</v>
      </c>
      <c r="K43" s="1">
        <v>493531</v>
      </c>
      <c r="L43" s="1">
        <v>57621</v>
      </c>
      <c r="M43" s="1">
        <v>3218614</v>
      </c>
      <c r="N43" s="1">
        <v>59461</v>
      </c>
      <c r="O43" s="1">
        <v>636390</v>
      </c>
      <c r="P43" s="1">
        <v>99153</v>
      </c>
      <c r="Q43" s="1">
        <v>1014552</v>
      </c>
      <c r="R43" s="1">
        <v>17058</v>
      </c>
      <c r="S43" s="1">
        <v>532139</v>
      </c>
      <c r="T43" s="1">
        <v>81617</v>
      </c>
      <c r="U43" s="1">
        <v>941004</v>
      </c>
      <c r="V43" s="1">
        <v>15097</v>
      </c>
      <c r="W43" s="1">
        <v>496831</v>
      </c>
      <c r="X43" s="1">
        <v>94041</v>
      </c>
      <c r="Y43" s="1">
        <v>839096</v>
      </c>
      <c r="Z43" s="1">
        <v>17040</v>
      </c>
      <c r="AA43" s="1">
        <v>576137</v>
      </c>
      <c r="AB43" s="1">
        <v>76522</v>
      </c>
      <c r="AC43" s="1">
        <v>905833</v>
      </c>
      <c r="AD43" s="1">
        <v>13381</v>
      </c>
      <c r="AE43" s="1">
        <v>458343</v>
      </c>
      <c r="AF43" s="1">
        <v>92425</v>
      </c>
      <c r="AG43" s="1">
        <v>963738</v>
      </c>
      <c r="AH43" s="1">
        <v>23774</v>
      </c>
      <c r="AI43" s="1">
        <f t="shared" si="0"/>
        <v>62594.3</v>
      </c>
      <c r="AJ43" s="1">
        <f t="shared" si="1"/>
        <v>62576</v>
      </c>
      <c r="AK43" s="8">
        <f t="shared" si="2"/>
        <v>-2.9235888890843942E-4</v>
      </c>
      <c r="AL43" s="9">
        <f t="shared" si="3"/>
        <v>3726202.6666666665</v>
      </c>
      <c r="AM43" s="8">
        <f t="shared" si="4"/>
        <v>1.9279547697189869E-2</v>
      </c>
      <c r="AN43" s="9">
        <f t="shared" si="5"/>
        <v>65593.333333333328</v>
      </c>
      <c r="AO43" s="8">
        <f t="shared" si="6"/>
        <v>-0.11484760156896623</v>
      </c>
      <c r="AP43" s="8">
        <f t="shared" si="8"/>
        <v>4.7912243340580973E-2</v>
      </c>
      <c r="AT43">
        <v>-3.84</v>
      </c>
      <c r="AU43">
        <v>16.920000000000002</v>
      </c>
      <c r="AV43">
        <v>79.98</v>
      </c>
    </row>
    <row r="44" spans="1:48" x14ac:dyDescent="0.2">
      <c r="A44" t="s">
        <v>353</v>
      </c>
      <c r="B44">
        <v>1185057</v>
      </c>
      <c r="C44" s="1">
        <v>3160</v>
      </c>
      <c r="D44" s="1">
        <v>776861</v>
      </c>
      <c r="E44" s="2" t="s">
        <v>354</v>
      </c>
      <c r="G44" s="1">
        <v>2203918</v>
      </c>
      <c r="H44" s="1">
        <v>371764</v>
      </c>
      <c r="I44" s="1">
        <v>173717</v>
      </c>
      <c r="J44" s="1">
        <v>69525</v>
      </c>
      <c r="K44" s="1">
        <v>1481261</v>
      </c>
      <c r="L44" s="1">
        <v>301827</v>
      </c>
      <c r="M44" s="1">
        <v>152064</v>
      </c>
      <c r="N44" s="1">
        <v>56813</v>
      </c>
      <c r="O44" s="1">
        <v>2668783</v>
      </c>
      <c r="P44" s="1">
        <v>433648</v>
      </c>
      <c r="Q44" s="1">
        <v>57187</v>
      </c>
      <c r="R44" s="1">
        <v>20298</v>
      </c>
      <c r="S44" s="1">
        <v>2566635</v>
      </c>
      <c r="T44" s="1">
        <v>413351</v>
      </c>
      <c r="U44" s="1">
        <v>58228</v>
      </c>
      <c r="V44" s="1">
        <v>21144</v>
      </c>
      <c r="W44" s="1">
        <v>2458528</v>
      </c>
      <c r="X44" s="1">
        <v>392207</v>
      </c>
      <c r="Y44" s="1">
        <v>52000</v>
      </c>
      <c r="Z44" s="1">
        <v>20377</v>
      </c>
      <c r="AA44" s="1">
        <v>2203918</v>
      </c>
      <c r="AB44" s="1">
        <v>371764</v>
      </c>
      <c r="AC44" s="1">
        <v>47580</v>
      </c>
      <c r="AD44" s="1">
        <v>16984</v>
      </c>
      <c r="AE44" s="1">
        <v>1893914</v>
      </c>
      <c r="AF44" s="1">
        <v>354779</v>
      </c>
      <c r="AG44" s="1">
        <v>46533</v>
      </c>
      <c r="AH44" s="1">
        <v>18105</v>
      </c>
      <c r="AI44" s="1">
        <f t="shared" si="0"/>
        <v>78789.148073022312</v>
      </c>
      <c r="AJ44" s="1">
        <f t="shared" si="1"/>
        <v>78803</v>
      </c>
      <c r="AK44" s="8">
        <f t="shared" si="2"/>
        <v>1.7581008700395806E-4</v>
      </c>
      <c r="AL44" s="9">
        <f t="shared" si="3"/>
        <v>223220</v>
      </c>
      <c r="AM44" s="8">
        <f t="shared" si="4"/>
        <v>0.28496347507728093</v>
      </c>
      <c r="AN44" s="9">
        <f t="shared" si="5"/>
        <v>82425.333333333328</v>
      </c>
      <c r="AO44" s="8">
        <f t="shared" si="6"/>
        <v>0.18554956250749122</v>
      </c>
      <c r="AP44" s="8">
        <f t="shared" si="8"/>
        <v>4.6150838652817772E-2</v>
      </c>
      <c r="AT44">
        <v>-10.83</v>
      </c>
      <c r="AU44">
        <v>51.59</v>
      </c>
      <c r="AV44">
        <v>130.51</v>
      </c>
    </row>
    <row r="45" spans="1:48" x14ac:dyDescent="0.2">
      <c r="A45" t="s">
        <v>202</v>
      </c>
      <c r="B45">
        <v>1172618</v>
      </c>
      <c r="C45" s="1">
        <v>460.3</v>
      </c>
      <c r="D45" s="1">
        <v>689268</v>
      </c>
      <c r="E45" s="2" t="s">
        <v>203</v>
      </c>
      <c r="G45" s="1">
        <v>1253639</v>
      </c>
      <c r="H45" s="1">
        <v>405596</v>
      </c>
      <c r="I45" s="1">
        <v>2210841</v>
      </c>
      <c r="J45" s="1">
        <v>58706</v>
      </c>
      <c r="K45" s="1">
        <v>1147297</v>
      </c>
      <c r="L45" s="1">
        <v>357087</v>
      </c>
      <c r="M45" s="1">
        <v>1777272</v>
      </c>
      <c r="N45" s="1">
        <v>39816</v>
      </c>
      <c r="O45" s="1">
        <v>1331489</v>
      </c>
      <c r="P45" s="1">
        <v>431021</v>
      </c>
      <c r="Q45" s="1">
        <v>551566</v>
      </c>
      <c r="R45" s="1">
        <v>13775</v>
      </c>
      <c r="S45" s="1">
        <v>1336766</v>
      </c>
      <c r="T45" s="1">
        <v>424246</v>
      </c>
      <c r="U45" s="1">
        <v>573621</v>
      </c>
      <c r="V45" s="1">
        <v>19900</v>
      </c>
      <c r="W45" s="1">
        <v>1244638</v>
      </c>
      <c r="X45" s="1">
        <v>409346</v>
      </c>
      <c r="Y45" s="1">
        <v>476965</v>
      </c>
      <c r="Z45" s="1">
        <v>13750</v>
      </c>
      <c r="AA45" s="1">
        <v>1253639</v>
      </c>
      <c r="AB45" s="1">
        <v>405596</v>
      </c>
      <c r="AC45" s="1">
        <v>532043</v>
      </c>
      <c r="AD45" s="1">
        <v>13094</v>
      </c>
      <c r="AE45" s="1">
        <v>1303273</v>
      </c>
      <c r="AF45" s="1">
        <v>395699</v>
      </c>
      <c r="AG45" s="1">
        <v>612173</v>
      </c>
      <c r="AH45" s="1">
        <v>14368</v>
      </c>
      <c r="AI45" s="1">
        <f t="shared" si="0"/>
        <v>60515.188762071994</v>
      </c>
      <c r="AJ45" s="1">
        <f t="shared" si="1"/>
        <v>60519</v>
      </c>
      <c r="AK45" s="8">
        <f t="shared" si="2"/>
        <v>6.2979856891631769E-5</v>
      </c>
      <c r="AL45" s="9">
        <f t="shared" si="3"/>
        <v>2136202.6666666665</v>
      </c>
      <c r="AM45" s="8">
        <f t="shared" si="4"/>
        <v>-3.3760154318349223E-2</v>
      </c>
      <c r="AN45" s="9">
        <f t="shared" si="5"/>
        <v>63233.333333333336</v>
      </c>
      <c r="AO45" s="8">
        <f t="shared" si="6"/>
        <v>7.7118749929024899E-2</v>
      </c>
      <c r="AP45" s="8">
        <f t="shared" si="8"/>
        <v>4.4916732920528224E-2</v>
      </c>
      <c r="AT45">
        <v>27.15</v>
      </c>
      <c r="AU45">
        <v>39.020000000000003</v>
      </c>
      <c r="AV45">
        <v>55.32</v>
      </c>
    </row>
    <row r="46" spans="1:48" x14ac:dyDescent="0.2">
      <c r="A46" t="s">
        <v>483</v>
      </c>
      <c r="B46">
        <v>1205913</v>
      </c>
      <c r="C46" s="1">
        <v>3817</v>
      </c>
      <c r="D46" s="1">
        <v>477496</v>
      </c>
      <c r="E46" s="2" t="s">
        <v>484</v>
      </c>
      <c r="G46" s="1">
        <v>2872337.14</v>
      </c>
      <c r="H46" s="1">
        <v>66258.7</v>
      </c>
      <c r="I46" s="1">
        <v>426910.53</v>
      </c>
      <c r="J46" s="1">
        <v>14934.47</v>
      </c>
      <c r="K46" s="1">
        <v>2237115.52</v>
      </c>
      <c r="L46" s="1">
        <v>27227.89</v>
      </c>
      <c r="M46" s="1">
        <v>361992.74</v>
      </c>
      <c r="N46" s="1">
        <v>9052.99</v>
      </c>
      <c r="O46" s="1">
        <v>2911409.06</v>
      </c>
      <c r="P46" s="1">
        <v>47107.19</v>
      </c>
      <c r="Q46" s="1">
        <v>131284.57</v>
      </c>
      <c r="R46" s="1">
        <v>6668.2</v>
      </c>
      <c r="S46" s="1">
        <v>3025540.47</v>
      </c>
      <c r="T46" s="1">
        <v>52239.02</v>
      </c>
      <c r="U46" s="1">
        <v>127667.29</v>
      </c>
      <c r="V46" s="1">
        <v>6595.63</v>
      </c>
      <c r="W46" s="1">
        <v>3103961.09</v>
      </c>
      <c r="X46" s="1">
        <v>72939.72</v>
      </c>
      <c r="Y46" s="1">
        <v>138804.09</v>
      </c>
      <c r="Z46" s="1">
        <v>5889.31</v>
      </c>
      <c r="AA46" s="1">
        <v>2872337.14</v>
      </c>
      <c r="AB46" s="1">
        <v>66258.7</v>
      </c>
      <c r="AC46" s="1">
        <v>111189.74</v>
      </c>
      <c r="AD46" s="1">
        <v>5350.15</v>
      </c>
      <c r="AE46" s="1">
        <v>2454331.98</v>
      </c>
      <c r="AF46" s="1">
        <v>46797.94</v>
      </c>
      <c r="AG46" s="1">
        <v>109311.44</v>
      </c>
      <c r="AH46" s="1">
        <v>3502.24</v>
      </c>
      <c r="AI46" s="1">
        <f t="shared" si="0"/>
        <v>24449.359959037378</v>
      </c>
      <c r="AJ46" s="1">
        <f t="shared" si="1"/>
        <v>24503.29</v>
      </c>
      <c r="AK46" s="8">
        <f t="shared" si="2"/>
        <v>2.2057853887782475E-3</v>
      </c>
      <c r="AL46" s="9">
        <f t="shared" si="3"/>
        <v>530341.26666666672</v>
      </c>
      <c r="AM46" s="8">
        <f t="shared" si="4"/>
        <v>0.24227731432782096</v>
      </c>
      <c r="AN46" s="9">
        <f t="shared" si="5"/>
        <v>25537.52</v>
      </c>
      <c r="AO46" s="8">
        <f t="shared" si="6"/>
        <v>0.7099716293916023</v>
      </c>
      <c r="AP46" s="8">
        <f t="shared" si="8"/>
        <v>4.4506688223566293E-2</v>
      </c>
      <c r="AT46">
        <v>0.2</v>
      </c>
      <c r="AU46">
        <v>-11.67</v>
      </c>
      <c r="AV46">
        <v>0</v>
      </c>
    </row>
    <row r="47" spans="1:48" x14ac:dyDescent="0.2">
      <c r="A47" t="s">
        <v>497</v>
      </c>
      <c r="B47">
        <v>813014</v>
      </c>
      <c r="C47" s="1">
        <v>40150</v>
      </c>
      <c r="D47" s="1">
        <v>4933632</v>
      </c>
      <c r="E47" s="2" t="s">
        <v>498</v>
      </c>
      <c r="G47" s="1">
        <v>2523104</v>
      </c>
      <c r="H47" s="1">
        <v>2010319</v>
      </c>
      <c r="I47" s="1">
        <v>2273947</v>
      </c>
      <c r="J47" s="1">
        <v>263466</v>
      </c>
      <c r="K47" s="1">
        <v>2368168</v>
      </c>
      <c r="L47" s="1">
        <v>1899317</v>
      </c>
      <c r="M47" s="1">
        <v>2129458</v>
      </c>
      <c r="N47" s="1">
        <v>237557</v>
      </c>
      <c r="O47" s="1">
        <v>2662122</v>
      </c>
      <c r="P47" s="1">
        <v>2178647</v>
      </c>
      <c r="Q47" s="1">
        <v>586160</v>
      </c>
      <c r="R47" s="1">
        <v>81413</v>
      </c>
      <c r="S47" s="1">
        <v>2614133</v>
      </c>
      <c r="T47" s="1">
        <v>2140953</v>
      </c>
      <c r="U47" s="1">
        <v>536563</v>
      </c>
      <c r="V47" s="1">
        <v>56366</v>
      </c>
      <c r="W47" s="1">
        <v>2610479</v>
      </c>
      <c r="X47" s="1">
        <v>2091283</v>
      </c>
      <c r="Y47" s="1">
        <v>586044</v>
      </c>
      <c r="Z47" s="1">
        <v>70131</v>
      </c>
      <c r="AA47" s="1">
        <v>2523104</v>
      </c>
      <c r="AB47" s="1">
        <v>2010319</v>
      </c>
      <c r="AC47" s="1">
        <v>531572</v>
      </c>
      <c r="AD47" s="1">
        <v>57633</v>
      </c>
      <c r="AE47" s="1">
        <v>2540327</v>
      </c>
      <c r="AF47" s="1">
        <v>2046994</v>
      </c>
      <c r="AG47" s="1">
        <v>605183</v>
      </c>
      <c r="AH47" s="1">
        <v>68161</v>
      </c>
      <c r="AI47" s="1">
        <f t="shared" si="0"/>
        <v>265534.55328310013</v>
      </c>
      <c r="AJ47" s="1">
        <f t="shared" si="1"/>
        <v>265543</v>
      </c>
      <c r="AK47" s="8">
        <f t="shared" si="2"/>
        <v>3.1810236353235766E-5</v>
      </c>
      <c r="AL47" s="9">
        <f t="shared" si="3"/>
        <v>2278356</v>
      </c>
      <c r="AM47" s="8">
        <f t="shared" si="4"/>
        <v>1.9389194207253269E-3</v>
      </c>
      <c r="AN47" s="9">
        <f t="shared" si="5"/>
        <v>277213.33333333331</v>
      </c>
      <c r="AO47" s="8">
        <f t="shared" si="6"/>
        <v>5.2178775756011486E-2</v>
      </c>
      <c r="AP47" s="8">
        <f t="shared" si="8"/>
        <v>4.3982148107789998E-2</v>
      </c>
      <c r="AT47">
        <v>17.809999999999999</v>
      </c>
      <c r="AU47">
        <v>21.36</v>
      </c>
      <c r="AV47">
        <v>62.38</v>
      </c>
    </row>
    <row r="48" spans="1:48" x14ac:dyDescent="0.2">
      <c r="A48" t="s">
        <v>406</v>
      </c>
      <c r="B48">
        <v>686014</v>
      </c>
      <c r="C48" s="1">
        <v>29330</v>
      </c>
      <c r="D48" s="1">
        <v>1009641</v>
      </c>
      <c r="E48" s="2" t="s">
        <v>407</v>
      </c>
      <c r="G48" s="1">
        <v>1280396</v>
      </c>
      <c r="H48" s="1">
        <v>513282</v>
      </c>
      <c r="I48" s="1">
        <v>965331</v>
      </c>
      <c r="J48" s="1">
        <v>-73891</v>
      </c>
      <c r="K48" s="1">
        <v>1317962</v>
      </c>
      <c r="L48" s="1">
        <v>579458</v>
      </c>
      <c r="M48" s="1">
        <v>1133365</v>
      </c>
      <c r="N48" s="1">
        <v>-154802</v>
      </c>
      <c r="O48" s="1">
        <v>1288559</v>
      </c>
      <c r="P48" s="1">
        <v>550487</v>
      </c>
      <c r="Q48" s="1">
        <v>172461</v>
      </c>
      <c r="R48" s="1">
        <v>-12232</v>
      </c>
      <c r="S48" s="1">
        <v>1263240</v>
      </c>
      <c r="T48" s="1">
        <v>564456</v>
      </c>
      <c r="U48" s="1">
        <v>236718</v>
      </c>
      <c r="V48" s="1">
        <v>-299</v>
      </c>
      <c r="W48" s="1">
        <v>1373807</v>
      </c>
      <c r="X48" s="1">
        <v>566333</v>
      </c>
      <c r="Y48" s="1">
        <v>391722</v>
      </c>
      <c r="Z48" s="1">
        <v>43161</v>
      </c>
      <c r="AA48" s="1">
        <v>1280396</v>
      </c>
      <c r="AB48" s="1">
        <v>513282</v>
      </c>
      <c r="AC48" s="1">
        <v>247539</v>
      </c>
      <c r="AD48" s="1">
        <v>8635</v>
      </c>
      <c r="AE48" s="1">
        <v>1473405</v>
      </c>
      <c r="AF48" s="1">
        <v>509665</v>
      </c>
      <c r="AG48" s="1">
        <v>150952</v>
      </c>
      <c r="AH48" s="1">
        <v>-35853</v>
      </c>
      <c r="AI48" s="1">
        <f t="shared" si="0"/>
        <v>39270.361726954492</v>
      </c>
      <c r="AJ48" s="1">
        <f t="shared" si="1"/>
        <v>39265</v>
      </c>
      <c r="AK48" s="8">
        <f t="shared" si="2"/>
        <v>-1.3653367880261946E-4</v>
      </c>
      <c r="AL48" s="9">
        <f t="shared" si="3"/>
        <v>1067868</v>
      </c>
      <c r="AM48" s="8">
        <f t="shared" si="4"/>
        <v>0.10621952470188978</v>
      </c>
      <c r="AN48" s="9">
        <f t="shared" si="5"/>
        <v>40840</v>
      </c>
      <c r="AO48" s="8">
        <f t="shared" si="6"/>
        <v>-1.5527060129109094</v>
      </c>
      <c r="AP48" s="8">
        <f t="shared" si="8"/>
        <v>3.997004875990573E-2</v>
      </c>
      <c r="AT48">
        <v>-4.7300000000000004</v>
      </c>
      <c r="AU48">
        <v>72.290000000000006</v>
      </c>
      <c r="AV48">
        <v>111.58</v>
      </c>
    </row>
    <row r="49" spans="1:48" x14ac:dyDescent="0.2">
      <c r="A49" t="s">
        <v>615</v>
      </c>
      <c r="B49">
        <v>1080456</v>
      </c>
      <c r="C49" s="1">
        <v>4790</v>
      </c>
      <c r="D49" s="1">
        <v>402542</v>
      </c>
      <c r="E49" s="2" t="s">
        <v>270</v>
      </c>
      <c r="G49" s="1">
        <v>226720</v>
      </c>
      <c r="H49" s="1">
        <v>181218</v>
      </c>
      <c r="I49" s="1">
        <v>182974</v>
      </c>
      <c r="J49" s="1">
        <v>41271</v>
      </c>
      <c r="K49" s="1">
        <v>222206</v>
      </c>
      <c r="L49" s="1">
        <v>180676</v>
      </c>
      <c r="M49" s="1">
        <v>213114</v>
      </c>
      <c r="N49" s="1">
        <v>41911</v>
      </c>
      <c r="O49" s="1">
        <v>219451</v>
      </c>
      <c r="P49" s="1">
        <v>175386</v>
      </c>
      <c r="Q49" s="1">
        <v>47528</v>
      </c>
      <c r="R49" s="1">
        <v>8384</v>
      </c>
      <c r="S49" s="1">
        <v>228073</v>
      </c>
      <c r="T49" s="1">
        <v>182338</v>
      </c>
      <c r="U49" s="1">
        <v>46218</v>
      </c>
      <c r="V49" s="1">
        <v>10033</v>
      </c>
      <c r="W49" s="1">
        <v>239873</v>
      </c>
      <c r="X49" s="1">
        <v>183432</v>
      </c>
      <c r="Y49" s="1">
        <v>46572</v>
      </c>
      <c r="Z49" s="1">
        <v>10924</v>
      </c>
      <c r="AA49" s="1">
        <v>226720</v>
      </c>
      <c r="AB49" s="1">
        <v>181218</v>
      </c>
      <c r="AC49" s="1">
        <v>40270</v>
      </c>
      <c r="AD49" s="1">
        <v>8373</v>
      </c>
      <c r="AE49" s="1">
        <v>232722</v>
      </c>
      <c r="AF49" s="1">
        <v>183283</v>
      </c>
      <c r="AG49" s="1">
        <v>46761</v>
      </c>
      <c r="AH49" s="1">
        <v>9675</v>
      </c>
      <c r="AI49" s="1">
        <f t="shared" si="0"/>
        <v>37726.522961574505</v>
      </c>
      <c r="AJ49" s="1">
        <f t="shared" si="1"/>
        <v>37714</v>
      </c>
      <c r="AK49" s="8">
        <f t="shared" si="2"/>
        <v>-3.319405180080004E-4</v>
      </c>
      <c r="AL49" s="9">
        <f t="shared" si="3"/>
        <v>187090.66666666666</v>
      </c>
      <c r="AM49" s="8">
        <f t="shared" si="4"/>
        <v>2.2498642794422485E-2</v>
      </c>
      <c r="AN49" s="9">
        <f t="shared" si="5"/>
        <v>39121.333333333336</v>
      </c>
      <c r="AO49" s="8">
        <f t="shared" si="6"/>
        <v>-5.2086614491208438E-2</v>
      </c>
      <c r="AP49" s="8">
        <f t="shared" si="8"/>
        <v>3.6971612071949655E-2</v>
      </c>
      <c r="AT49">
        <v>-2.2599999999999998</v>
      </c>
      <c r="AU49">
        <v>10.54</v>
      </c>
      <c r="AV49">
        <v>-19.82</v>
      </c>
    </row>
    <row r="50" spans="1:48" x14ac:dyDescent="0.2">
      <c r="A50" t="s">
        <v>331</v>
      </c>
      <c r="B50">
        <v>354019</v>
      </c>
      <c r="C50" s="1">
        <v>21800</v>
      </c>
      <c r="D50" s="1">
        <v>1973467</v>
      </c>
      <c r="E50" s="2" t="s">
        <v>332</v>
      </c>
      <c r="G50" s="1">
        <v>416003</v>
      </c>
      <c r="H50" s="1">
        <v>282273</v>
      </c>
      <c r="I50" s="1">
        <v>392055</v>
      </c>
      <c r="J50" s="1">
        <v>95680</v>
      </c>
      <c r="K50" s="1">
        <v>437126</v>
      </c>
      <c r="L50" s="1">
        <v>263118</v>
      </c>
      <c r="M50" s="1">
        <v>548819</v>
      </c>
      <c r="N50" s="1">
        <v>128416</v>
      </c>
      <c r="O50" s="1">
        <v>405517</v>
      </c>
      <c r="P50" s="1">
        <v>245825</v>
      </c>
      <c r="Q50" s="1">
        <v>114559</v>
      </c>
      <c r="R50" s="1">
        <v>31455</v>
      </c>
      <c r="S50" s="1">
        <v>406124</v>
      </c>
      <c r="T50" s="1">
        <v>249112</v>
      </c>
      <c r="U50" s="1">
        <v>111948</v>
      </c>
      <c r="V50" s="1">
        <v>32626</v>
      </c>
      <c r="W50" s="1">
        <v>455262</v>
      </c>
      <c r="X50" s="1">
        <v>281383</v>
      </c>
      <c r="Y50" s="1">
        <v>115807</v>
      </c>
      <c r="Z50" s="1">
        <v>32232</v>
      </c>
      <c r="AA50" s="1">
        <v>416003</v>
      </c>
      <c r="AB50" s="1">
        <v>282273</v>
      </c>
      <c r="AC50" s="1">
        <v>97970</v>
      </c>
      <c r="AD50" s="1">
        <v>28552</v>
      </c>
      <c r="AE50" s="1">
        <v>411881</v>
      </c>
      <c r="AF50" s="1">
        <v>286890</v>
      </c>
      <c r="AG50" s="1">
        <v>87145</v>
      </c>
      <c r="AH50" s="1">
        <v>17721</v>
      </c>
      <c r="AI50" s="1">
        <f t="shared" si="0"/>
        <v>124902.97468354429</v>
      </c>
      <c r="AJ50" s="1">
        <f t="shared" si="1"/>
        <v>124865</v>
      </c>
      <c r="AK50" s="8">
        <f t="shared" si="2"/>
        <v>-3.0403345989560293E-4</v>
      </c>
      <c r="AL50" s="9">
        <f t="shared" si="3"/>
        <v>456418.66666666669</v>
      </c>
      <c r="AM50" s="8">
        <f t="shared" si="4"/>
        <v>0.16416999315572234</v>
      </c>
      <c r="AN50" s="9">
        <f t="shared" si="5"/>
        <v>128417.33333333333</v>
      </c>
      <c r="AO50" s="8">
        <f t="shared" si="6"/>
        <v>0.34215440356744709</v>
      </c>
      <c r="AP50" s="8">
        <f t="shared" si="8"/>
        <v>2.813670898305709E-2</v>
      </c>
      <c r="AT50">
        <v>-3.9</v>
      </c>
      <c r="AU50">
        <v>41.19</v>
      </c>
      <c r="AV50">
        <v>39.69</v>
      </c>
    </row>
    <row r="51" spans="1:48" x14ac:dyDescent="0.2">
      <c r="A51" t="s">
        <v>298</v>
      </c>
      <c r="B51">
        <v>1123777</v>
      </c>
      <c r="C51" s="1">
        <v>4847</v>
      </c>
      <c r="D51" s="1">
        <v>687581</v>
      </c>
      <c r="E51" s="2" t="s">
        <v>299</v>
      </c>
      <c r="G51" s="1">
        <v>2112641</v>
      </c>
      <c r="H51" s="1">
        <v>404122</v>
      </c>
      <c r="I51" s="1">
        <v>2582279</v>
      </c>
      <c r="J51" s="1">
        <v>43746</v>
      </c>
      <c r="K51" s="1">
        <v>1920346</v>
      </c>
      <c r="L51" s="1">
        <v>398112</v>
      </c>
      <c r="M51" s="1">
        <v>2450735</v>
      </c>
      <c r="N51" s="1">
        <v>46461</v>
      </c>
      <c r="O51" s="1">
        <v>2152847</v>
      </c>
      <c r="P51" s="1">
        <v>399908</v>
      </c>
      <c r="Q51" s="1">
        <v>646297</v>
      </c>
      <c r="R51" s="1">
        <v>11167</v>
      </c>
      <c r="S51" s="1">
        <v>2143513</v>
      </c>
      <c r="T51" s="1">
        <v>395741</v>
      </c>
      <c r="U51" s="1">
        <v>660936</v>
      </c>
      <c r="V51" s="1">
        <v>9513</v>
      </c>
      <c r="W51" s="1">
        <v>2157354</v>
      </c>
      <c r="X51" s="1">
        <v>386228</v>
      </c>
      <c r="Y51" s="1">
        <v>603701</v>
      </c>
      <c r="Z51" s="1">
        <v>2106</v>
      </c>
      <c r="AA51" s="1">
        <v>2112641</v>
      </c>
      <c r="AB51" s="1">
        <v>404122</v>
      </c>
      <c r="AC51" s="1">
        <v>626842</v>
      </c>
      <c r="AD51" s="1">
        <v>6815</v>
      </c>
      <c r="AE51" s="1">
        <v>2192305</v>
      </c>
      <c r="AF51" s="1">
        <v>398157</v>
      </c>
      <c r="AG51" s="1">
        <v>693320</v>
      </c>
      <c r="AH51" s="1">
        <v>15917</v>
      </c>
      <c r="AI51" s="1">
        <f t="shared" si="0"/>
        <v>29598.83770985794</v>
      </c>
      <c r="AJ51" s="1">
        <f t="shared" si="1"/>
        <v>29601</v>
      </c>
      <c r="AK51" s="8">
        <f t="shared" si="2"/>
        <v>7.3053211185447608E-5</v>
      </c>
      <c r="AL51" s="9">
        <f t="shared" si="3"/>
        <v>2547912</v>
      </c>
      <c r="AM51" s="8">
        <f t="shared" si="4"/>
        <v>-1.330878654088119E-2</v>
      </c>
      <c r="AN51" s="9">
        <f t="shared" si="5"/>
        <v>30381.333333333332</v>
      </c>
      <c r="AO51" s="8">
        <f t="shared" si="6"/>
        <v>-0.30550602721772657</v>
      </c>
      <c r="AP51" s="8">
        <f t="shared" si="8"/>
        <v>2.6436701033526688E-2</v>
      </c>
      <c r="AT51">
        <v>-2.78</v>
      </c>
      <c r="AU51">
        <v>-10.54</v>
      </c>
      <c r="AV51">
        <v>22.11</v>
      </c>
    </row>
    <row r="52" spans="1:48" x14ac:dyDescent="0.2">
      <c r="A52" t="s">
        <v>517</v>
      </c>
      <c r="B52">
        <v>312017</v>
      </c>
      <c r="C52" s="1">
        <v>6484</v>
      </c>
      <c r="D52" s="1">
        <v>1555614</v>
      </c>
      <c r="E52" s="2" t="s">
        <v>518</v>
      </c>
      <c r="G52" s="1">
        <v>767715</v>
      </c>
      <c r="H52" s="1">
        <v>430114</v>
      </c>
      <c r="I52" s="1">
        <v>393590</v>
      </c>
      <c r="J52" s="1">
        <v>48683</v>
      </c>
      <c r="K52" s="1">
        <v>680555</v>
      </c>
      <c r="L52" s="1">
        <v>396644</v>
      </c>
      <c r="M52" s="1">
        <v>326681</v>
      </c>
      <c r="N52" s="1">
        <v>32585</v>
      </c>
      <c r="O52" s="1">
        <v>795387</v>
      </c>
      <c r="P52" s="1">
        <v>449078</v>
      </c>
      <c r="Q52" s="1">
        <v>105037</v>
      </c>
      <c r="R52" s="1">
        <v>15822</v>
      </c>
      <c r="S52" s="1">
        <v>807495</v>
      </c>
      <c r="T52" s="1">
        <v>443452</v>
      </c>
      <c r="U52" s="1">
        <v>119038</v>
      </c>
      <c r="V52" s="1">
        <v>14700</v>
      </c>
      <c r="W52" s="1">
        <v>797142</v>
      </c>
      <c r="X52" s="1">
        <v>445151</v>
      </c>
      <c r="Y52" s="1">
        <v>121467</v>
      </c>
      <c r="Z52" s="1">
        <v>14689</v>
      </c>
      <c r="AA52" s="1">
        <v>767715</v>
      </c>
      <c r="AB52" s="1">
        <v>430114</v>
      </c>
      <c r="AC52" s="1">
        <v>108058</v>
      </c>
      <c r="AD52" s="1">
        <v>11270</v>
      </c>
      <c r="AE52" s="1">
        <v>788259</v>
      </c>
      <c r="AF52" s="1">
        <v>434118</v>
      </c>
      <c r="AG52" s="1">
        <v>100082</v>
      </c>
      <c r="AH52" s="1">
        <v>11374</v>
      </c>
      <c r="AI52" s="1">
        <f t="shared" si="0"/>
        <v>58835.627836611195</v>
      </c>
      <c r="AJ52" s="1">
        <f t="shared" si="1"/>
        <v>56481</v>
      </c>
      <c r="AK52" s="8">
        <f t="shared" si="2"/>
        <v>-4.002044208910438E-2</v>
      </c>
      <c r="AL52" s="9">
        <f t="shared" si="3"/>
        <v>460722.66666666669</v>
      </c>
      <c r="AM52" s="8">
        <f t="shared" si="4"/>
        <v>0.17056497031598039</v>
      </c>
      <c r="AN52" s="9">
        <f t="shared" si="5"/>
        <v>60281.333333333336</v>
      </c>
      <c r="AO52" s="8">
        <f t="shared" si="6"/>
        <v>0.23824195989017394</v>
      </c>
      <c r="AP52" s="8">
        <f t="shared" si="8"/>
        <v>2.4571939654267405E-2</v>
      </c>
      <c r="AT52">
        <v>-11.84</v>
      </c>
      <c r="AU52">
        <v>34.700000000000003</v>
      </c>
      <c r="AV52">
        <v>306.39</v>
      </c>
    </row>
    <row r="53" spans="1:48" x14ac:dyDescent="0.2">
      <c r="A53" t="s">
        <v>150</v>
      </c>
      <c r="B53">
        <v>1091354</v>
      </c>
      <c r="C53" s="1">
        <v>21990</v>
      </c>
      <c r="D53" s="1">
        <v>9109897</v>
      </c>
      <c r="E53" s="2" t="s">
        <v>151</v>
      </c>
      <c r="G53" s="1">
        <v>21438107</v>
      </c>
      <c r="H53" s="1">
        <v>6853575</v>
      </c>
      <c r="I53" s="1">
        <v>1519978</v>
      </c>
      <c r="J53" s="1">
        <v>663303</v>
      </c>
      <c r="K53" s="1">
        <v>19582416</v>
      </c>
      <c r="L53" s="1">
        <v>6590899</v>
      </c>
      <c r="M53" s="1">
        <v>1392801</v>
      </c>
      <c r="N53" s="1">
        <v>211403</v>
      </c>
      <c r="O53" s="1">
        <v>23206191</v>
      </c>
      <c r="P53" s="1">
        <v>7729082</v>
      </c>
      <c r="Q53" s="1">
        <v>393792</v>
      </c>
      <c r="R53" s="1">
        <v>441652</v>
      </c>
      <c r="S53" s="1">
        <v>22535856</v>
      </c>
      <c r="T53" s="1">
        <v>7308112</v>
      </c>
      <c r="U53" s="1">
        <v>395430</v>
      </c>
      <c r="V53" s="1">
        <v>114326</v>
      </c>
      <c r="W53" s="1">
        <v>22399754</v>
      </c>
      <c r="X53" s="1">
        <v>7360264</v>
      </c>
      <c r="Y53" s="1">
        <v>277885</v>
      </c>
      <c r="Z53" s="1">
        <v>54698</v>
      </c>
      <c r="AA53" s="1">
        <v>21438107</v>
      </c>
      <c r="AB53" s="1">
        <v>6853575</v>
      </c>
      <c r="AC53" s="1">
        <v>406866</v>
      </c>
      <c r="AD53" s="1">
        <v>185186</v>
      </c>
      <c r="AE53" s="1">
        <v>21884245</v>
      </c>
      <c r="AF53" s="1">
        <v>7292701</v>
      </c>
      <c r="AG53" s="1">
        <v>398797</v>
      </c>
      <c r="AH53" s="1">
        <v>346614</v>
      </c>
      <c r="AI53" s="1">
        <f t="shared" si="0"/>
        <v>795624.19213973801</v>
      </c>
      <c r="AJ53" s="1">
        <f t="shared" si="1"/>
        <v>795862</v>
      </c>
      <c r="AK53" s="8">
        <f t="shared" si="2"/>
        <v>2.9889470759103531E-4</v>
      </c>
      <c r="AL53" s="9">
        <f t="shared" si="3"/>
        <v>1422809.3333333333</v>
      </c>
      <c r="AM53" s="8">
        <f t="shared" si="4"/>
        <v>-6.3927679655012559E-2</v>
      </c>
      <c r="AN53" s="9">
        <f t="shared" si="5"/>
        <v>814234.66666666663</v>
      </c>
      <c r="AO53" s="8">
        <f t="shared" si="6"/>
        <v>0.22754558123009638</v>
      </c>
      <c r="AP53" s="8">
        <f t="shared" si="8"/>
        <v>2.339103651043839E-2</v>
      </c>
      <c r="AT53">
        <v>3.63</v>
      </c>
      <c r="AU53">
        <v>27.76</v>
      </c>
      <c r="AV53">
        <v>89.2</v>
      </c>
    </row>
    <row r="54" spans="1:48" x14ac:dyDescent="0.2">
      <c r="A54" t="s">
        <v>204</v>
      </c>
      <c r="B54">
        <v>1172337</v>
      </c>
      <c r="C54" s="1">
        <v>32570</v>
      </c>
      <c r="D54" s="1">
        <v>541598</v>
      </c>
      <c r="E54" s="2" t="s">
        <v>205</v>
      </c>
      <c r="G54" s="1">
        <v>822991</v>
      </c>
      <c r="H54" s="1">
        <v>189443</v>
      </c>
      <c r="I54" s="1">
        <v>72680</v>
      </c>
      <c r="J54" s="1">
        <v>35472</v>
      </c>
      <c r="K54" s="1">
        <v>692506</v>
      </c>
      <c r="L54" s="1">
        <v>138241</v>
      </c>
      <c r="M54" s="1">
        <v>93174</v>
      </c>
      <c r="N54" s="1">
        <v>43816</v>
      </c>
      <c r="O54" s="1">
        <v>1059179</v>
      </c>
      <c r="P54" s="1">
        <v>211532</v>
      </c>
      <c r="Q54" s="1">
        <v>30817</v>
      </c>
      <c r="R54" s="1">
        <v>11021</v>
      </c>
      <c r="S54" s="1">
        <v>987587</v>
      </c>
      <c r="T54" s="1">
        <v>209062</v>
      </c>
      <c r="U54" s="1">
        <v>14245</v>
      </c>
      <c r="V54" s="1">
        <v>9502</v>
      </c>
      <c r="W54" s="1">
        <v>907659</v>
      </c>
      <c r="X54" s="1">
        <v>195050</v>
      </c>
      <c r="Y54" s="1">
        <v>15785</v>
      </c>
      <c r="Z54" s="1">
        <v>7759</v>
      </c>
      <c r="AA54" s="1">
        <v>822991</v>
      </c>
      <c r="AB54" s="1">
        <v>189443</v>
      </c>
      <c r="AC54" s="1">
        <v>9621</v>
      </c>
      <c r="AD54" s="1">
        <v>9105</v>
      </c>
      <c r="AE54" s="1">
        <v>771485</v>
      </c>
      <c r="AF54" s="1">
        <v>167352</v>
      </c>
      <c r="AG54" s="1">
        <v>28714</v>
      </c>
      <c r="AH54" s="1">
        <v>9587</v>
      </c>
      <c r="AI54" s="1">
        <f t="shared" si="0"/>
        <v>36994.398907103823</v>
      </c>
      <c r="AJ54" s="1">
        <f t="shared" si="1"/>
        <v>37387</v>
      </c>
      <c r="AK54" s="8">
        <f t="shared" si="2"/>
        <v>1.0612446870187808E-2</v>
      </c>
      <c r="AL54" s="9">
        <f t="shared" si="3"/>
        <v>81129.333333333328</v>
      </c>
      <c r="AM54" s="8">
        <f t="shared" si="4"/>
        <v>0.11625389836727207</v>
      </c>
      <c r="AN54" s="9">
        <f t="shared" si="5"/>
        <v>37709.333333333336</v>
      </c>
      <c r="AO54" s="8">
        <f t="shared" si="6"/>
        <v>6.3073222071869051E-2</v>
      </c>
      <c r="AP54" s="8">
        <f t="shared" si="8"/>
        <v>1.932547756823344E-2</v>
      </c>
      <c r="AT54">
        <v>17.899999999999999</v>
      </c>
      <c r="AU54">
        <v>55.24</v>
      </c>
      <c r="AV54">
        <v>60.06</v>
      </c>
    </row>
    <row r="55" spans="1:48" x14ac:dyDescent="0.2">
      <c r="A55" t="s">
        <v>128</v>
      </c>
      <c r="B55">
        <v>387019</v>
      </c>
      <c r="C55" s="1">
        <v>29100</v>
      </c>
      <c r="D55" s="1">
        <v>5995621</v>
      </c>
      <c r="E55" s="2" t="s">
        <v>129</v>
      </c>
      <c r="G55" s="1">
        <v>17771124</v>
      </c>
      <c r="H55" s="1">
        <v>5826003</v>
      </c>
      <c r="I55" s="1">
        <v>1238783</v>
      </c>
      <c r="J55" s="1">
        <v>299425</v>
      </c>
      <c r="K55" s="1">
        <v>17636319</v>
      </c>
      <c r="L55" s="1">
        <v>5559463</v>
      </c>
      <c r="M55" s="1">
        <v>1285405</v>
      </c>
      <c r="N55" s="1">
        <v>-209127</v>
      </c>
      <c r="O55" s="1">
        <v>19226913</v>
      </c>
      <c r="P55" s="1">
        <v>6736762</v>
      </c>
      <c r="Q55" s="1">
        <v>633934</v>
      </c>
      <c r="R55" s="1">
        <v>181513</v>
      </c>
      <c r="S55" s="1">
        <v>19261316</v>
      </c>
      <c r="T55" s="1">
        <v>6588424</v>
      </c>
      <c r="U55" s="1">
        <v>343737</v>
      </c>
      <c r="V55" s="1">
        <v>552492</v>
      </c>
      <c r="W55" s="1">
        <v>18573335</v>
      </c>
      <c r="X55" s="1">
        <v>6032510</v>
      </c>
      <c r="Y55" s="1">
        <v>269448</v>
      </c>
      <c r="Z55" s="1">
        <v>121276</v>
      </c>
      <c r="AA55" s="1">
        <v>17771124</v>
      </c>
      <c r="AB55" s="1">
        <v>5826003</v>
      </c>
      <c r="AC55" s="1">
        <v>322310</v>
      </c>
      <c r="AD55" s="1">
        <v>323056</v>
      </c>
      <c r="AE55" s="1">
        <v>18271415</v>
      </c>
      <c r="AF55" s="1">
        <v>5510009</v>
      </c>
      <c r="AG55" s="1">
        <v>344461</v>
      </c>
      <c r="AH55" s="1">
        <v>116594</v>
      </c>
      <c r="AI55" s="1">
        <f t="shared" si="0"/>
        <v>1122775.4681647941</v>
      </c>
      <c r="AJ55" s="1">
        <f t="shared" si="1"/>
        <v>1178337</v>
      </c>
      <c r="AK55" s="8">
        <f t="shared" si="2"/>
        <v>4.9485879777924513E-2</v>
      </c>
      <c r="AL55" s="9">
        <f t="shared" si="3"/>
        <v>1662825.3333333333</v>
      </c>
      <c r="AM55" s="8">
        <f t="shared" si="4"/>
        <v>0.34230558001952982</v>
      </c>
      <c r="AN55" s="9">
        <f t="shared" si="5"/>
        <v>1140374.6666666667</v>
      </c>
      <c r="AO55" s="8">
        <f t="shared" si="6"/>
        <v>2.8085486070524062</v>
      </c>
      <c r="AP55" s="8">
        <f t="shared" si="8"/>
        <v>1.5674726604633538E-2</v>
      </c>
      <c r="AT55">
        <v>26.68</v>
      </c>
      <c r="AU55">
        <v>87.21</v>
      </c>
      <c r="AV55">
        <v>61.48</v>
      </c>
    </row>
    <row r="56" spans="1:48" x14ac:dyDescent="0.2">
      <c r="A56" t="s">
        <v>443</v>
      </c>
      <c r="B56">
        <v>1170893</v>
      </c>
      <c r="C56" s="1">
        <v>2300</v>
      </c>
      <c r="D56" s="1">
        <v>1401182</v>
      </c>
      <c r="E56" s="2" t="s">
        <v>444</v>
      </c>
      <c r="G56" s="1">
        <v>3218498</v>
      </c>
      <c r="H56" s="1">
        <v>562255</v>
      </c>
      <c r="I56" s="1">
        <v>423403</v>
      </c>
      <c r="J56" s="1">
        <v>151879</v>
      </c>
      <c r="K56" s="1">
        <v>2603478</v>
      </c>
      <c r="L56" s="1">
        <v>449995</v>
      </c>
      <c r="M56" s="1">
        <v>332026</v>
      </c>
      <c r="N56" s="1">
        <v>124423</v>
      </c>
      <c r="O56" s="1">
        <v>3820100</v>
      </c>
      <c r="P56" s="1">
        <v>656311</v>
      </c>
      <c r="Q56" s="1">
        <v>137555</v>
      </c>
      <c r="R56" s="1">
        <v>47480</v>
      </c>
      <c r="S56" s="1">
        <v>3754753</v>
      </c>
      <c r="T56" s="1">
        <v>622680</v>
      </c>
      <c r="U56" s="1">
        <v>128520</v>
      </c>
      <c r="V56" s="1">
        <v>43146</v>
      </c>
      <c r="W56" s="1">
        <v>3469580</v>
      </c>
      <c r="X56" s="1">
        <v>587372</v>
      </c>
      <c r="Y56" s="1">
        <v>121818</v>
      </c>
      <c r="Z56" s="1">
        <v>41947</v>
      </c>
      <c r="AA56" s="1">
        <v>3218498</v>
      </c>
      <c r="AB56" s="1">
        <v>562255</v>
      </c>
      <c r="AC56" s="1">
        <v>117023</v>
      </c>
      <c r="AD56" s="1">
        <v>41539</v>
      </c>
      <c r="AE56" s="1">
        <v>3067256</v>
      </c>
      <c r="AF56" s="1">
        <v>534800</v>
      </c>
      <c r="AG56" s="1">
        <v>106256</v>
      </c>
      <c r="AH56" s="1">
        <v>39221</v>
      </c>
      <c r="AI56" s="1">
        <f t="shared" si="0"/>
        <v>174059.8757763975</v>
      </c>
      <c r="AJ56" s="1">
        <f t="shared" si="1"/>
        <v>174112</v>
      </c>
      <c r="AK56" s="8">
        <f t="shared" si="2"/>
        <v>2.9946145468628949E-4</v>
      </c>
      <c r="AL56" s="9">
        <f t="shared" si="3"/>
        <v>517190.66666666669</v>
      </c>
      <c r="AM56" s="8">
        <f t="shared" si="4"/>
        <v>0.22150921619985375</v>
      </c>
      <c r="AN56" s="9">
        <f t="shared" si="5"/>
        <v>176764</v>
      </c>
      <c r="AO56" s="8">
        <f t="shared" si="6"/>
        <v>0.16384753652578699</v>
      </c>
      <c r="AP56" s="8">
        <f t="shared" si="8"/>
        <v>1.553559780242697E-2</v>
      </c>
      <c r="AT56">
        <v>3.52</v>
      </c>
      <c r="AU56">
        <v>55.58</v>
      </c>
      <c r="AV56">
        <v>166.09</v>
      </c>
    </row>
    <row r="57" spans="1:48" x14ac:dyDescent="0.2">
      <c r="A57" t="s">
        <v>644</v>
      </c>
      <c r="B57">
        <v>1082726</v>
      </c>
      <c r="C57" s="1">
        <v>12400</v>
      </c>
      <c r="D57" s="1">
        <v>1599424</v>
      </c>
      <c r="E57" s="2" t="s">
        <v>645</v>
      </c>
      <c r="G57" s="1">
        <v>595781.23</v>
      </c>
      <c r="H57" s="1">
        <v>408350.95</v>
      </c>
      <c r="I57" s="1">
        <v>554767.06000000006</v>
      </c>
      <c r="J57" s="1">
        <v>40726.050000000003</v>
      </c>
      <c r="K57" s="1">
        <v>528007.79</v>
      </c>
      <c r="L57" s="1">
        <v>328907.25</v>
      </c>
      <c r="M57" s="1">
        <v>412730.85</v>
      </c>
      <c r="N57" s="1">
        <v>16945.34</v>
      </c>
      <c r="O57" s="1">
        <v>740990.31</v>
      </c>
      <c r="P57" s="1">
        <v>564294.53</v>
      </c>
      <c r="Q57" s="1">
        <v>152852.91</v>
      </c>
      <c r="R57" s="1">
        <v>16004.35</v>
      </c>
      <c r="S57" s="1">
        <v>720377.22</v>
      </c>
      <c r="T57" s="1">
        <v>559013.53</v>
      </c>
      <c r="U57" s="1">
        <v>145346.69</v>
      </c>
      <c r="V57" s="1">
        <v>11606.42</v>
      </c>
      <c r="W57" s="1">
        <v>635242.6</v>
      </c>
      <c r="X57" s="1">
        <v>433265.97</v>
      </c>
      <c r="Y57" s="1">
        <v>156683.95000000001</v>
      </c>
      <c r="Z57" s="1">
        <v>14176.73</v>
      </c>
      <c r="AA57" s="1">
        <v>595781.23</v>
      </c>
      <c r="AB57" s="1">
        <v>408350.95</v>
      </c>
      <c r="AC57" s="1">
        <v>149687.47</v>
      </c>
      <c r="AD57" s="1">
        <v>13038.03</v>
      </c>
      <c r="AE57" s="1">
        <v>585018.78</v>
      </c>
      <c r="AF57" s="1">
        <v>402542.42</v>
      </c>
      <c r="AG57" s="1">
        <v>150102.89000000001</v>
      </c>
      <c r="AH57" s="1">
        <v>10629.15</v>
      </c>
      <c r="AI57" s="1">
        <f t="shared" si="0"/>
        <v>54868.747855917667</v>
      </c>
      <c r="AJ57" s="1">
        <f t="shared" si="1"/>
        <v>54825.53</v>
      </c>
      <c r="AK57" s="8">
        <f t="shared" si="2"/>
        <v>-7.8765886969311971E-4</v>
      </c>
      <c r="AL57" s="9">
        <f t="shared" si="3"/>
        <v>606511.4</v>
      </c>
      <c r="AM57" s="8">
        <f t="shared" si="4"/>
        <v>9.3272192476604454E-2</v>
      </c>
      <c r="AN57" s="9">
        <f t="shared" si="5"/>
        <v>55716.666666666664</v>
      </c>
      <c r="AO57" s="8">
        <f t="shared" si="6"/>
        <v>0.36808422782633388</v>
      </c>
      <c r="AP57" s="8">
        <f t="shared" si="8"/>
        <v>1.5453584123617858E-2</v>
      </c>
      <c r="AT57">
        <v>-0.32</v>
      </c>
      <c r="AU57">
        <v>55.32</v>
      </c>
      <c r="AV57">
        <v>471.49</v>
      </c>
    </row>
    <row r="58" spans="1:48" x14ac:dyDescent="0.2">
      <c r="A58" t="s">
        <v>533</v>
      </c>
      <c r="B58">
        <v>1180876</v>
      </c>
      <c r="C58" s="1">
        <v>545.9</v>
      </c>
      <c r="D58" s="1">
        <v>214205</v>
      </c>
      <c r="E58" s="2" t="s">
        <v>534</v>
      </c>
      <c r="G58" s="1">
        <v>166563</v>
      </c>
      <c r="H58" s="1">
        <v>68081</v>
      </c>
      <c r="I58" s="1">
        <v>43046</v>
      </c>
      <c r="J58" s="1">
        <v>13291</v>
      </c>
      <c r="K58" s="1">
        <v>186342</v>
      </c>
      <c r="L58" s="1">
        <v>61569</v>
      </c>
      <c r="M58" s="1">
        <v>38524</v>
      </c>
      <c r="N58" s="1">
        <v>10298</v>
      </c>
      <c r="O58" s="1">
        <v>232574</v>
      </c>
      <c r="P58" s="1">
        <v>79784</v>
      </c>
      <c r="Q58" s="1">
        <v>16210</v>
      </c>
      <c r="R58" s="1">
        <v>5013</v>
      </c>
      <c r="S58" s="1">
        <v>156199</v>
      </c>
      <c r="T58" s="1">
        <v>76556</v>
      </c>
      <c r="U58" s="1">
        <v>13258</v>
      </c>
      <c r="V58" s="1">
        <v>4236</v>
      </c>
      <c r="W58" s="1">
        <v>104851</v>
      </c>
      <c r="X58" s="1">
        <v>71154</v>
      </c>
      <c r="Y58" s="1">
        <v>11569</v>
      </c>
      <c r="Z58" s="1">
        <v>3771</v>
      </c>
      <c r="AA58" s="1">
        <v>166563</v>
      </c>
      <c r="AB58" s="1">
        <v>68081</v>
      </c>
      <c r="AC58" s="1">
        <v>11922</v>
      </c>
      <c r="AD58" s="1">
        <v>4091</v>
      </c>
      <c r="AE58" s="1">
        <v>117843</v>
      </c>
      <c r="AF58" s="1">
        <v>65984</v>
      </c>
      <c r="AG58" s="1">
        <v>12662</v>
      </c>
      <c r="AH58" s="1">
        <v>4190</v>
      </c>
      <c r="AI58" s="1">
        <f t="shared" si="0"/>
        <v>17109.02555910543</v>
      </c>
      <c r="AJ58" s="1">
        <f t="shared" si="1"/>
        <v>17111</v>
      </c>
      <c r="AK58" s="8">
        <f t="shared" si="2"/>
        <v>1.1540346863991857E-4</v>
      </c>
      <c r="AL58" s="9">
        <f t="shared" si="3"/>
        <v>54716</v>
      </c>
      <c r="AM58" s="8">
        <f t="shared" si="4"/>
        <v>0.27110532918273478</v>
      </c>
      <c r="AN58" s="9">
        <f t="shared" si="5"/>
        <v>17360</v>
      </c>
      <c r="AO58" s="8">
        <f t="shared" si="6"/>
        <v>0.30614701677827094</v>
      </c>
      <c r="AP58" s="8">
        <f t="shared" si="8"/>
        <v>1.4669125370556202E-2</v>
      </c>
      <c r="AT58">
        <v>24.86</v>
      </c>
      <c r="AU58">
        <v>64.78</v>
      </c>
      <c r="AV58">
        <v>118.39</v>
      </c>
    </row>
    <row r="59" spans="1:48" x14ac:dyDescent="0.2">
      <c r="A59" t="s">
        <v>328</v>
      </c>
      <c r="B59">
        <v>103010</v>
      </c>
      <c r="C59" s="1">
        <v>994.8</v>
      </c>
      <c r="D59" s="1">
        <v>1059683</v>
      </c>
      <c r="E59" s="2" t="s">
        <v>329</v>
      </c>
      <c r="G59" s="1">
        <v>1261541</v>
      </c>
      <c r="H59" s="1">
        <v>332443</v>
      </c>
      <c r="I59" s="1">
        <v>1858975</v>
      </c>
      <c r="J59" s="1">
        <v>58034</v>
      </c>
      <c r="K59" s="1">
        <v>1244553</v>
      </c>
      <c r="L59" s="1">
        <v>287064</v>
      </c>
      <c r="M59" s="1">
        <v>1675539</v>
      </c>
      <c r="N59" s="1">
        <v>37654</v>
      </c>
      <c r="O59" s="1">
        <v>1541480</v>
      </c>
      <c r="P59" s="1">
        <v>368474</v>
      </c>
      <c r="Q59" s="1">
        <v>528741</v>
      </c>
      <c r="R59" s="1">
        <v>15554</v>
      </c>
      <c r="S59" s="1">
        <v>1469092</v>
      </c>
      <c r="T59" s="1">
        <v>360333</v>
      </c>
      <c r="U59" s="1">
        <v>539708</v>
      </c>
      <c r="V59" s="1">
        <v>24604</v>
      </c>
      <c r="W59" s="1">
        <v>1289325</v>
      </c>
      <c r="X59" s="1">
        <v>338761</v>
      </c>
      <c r="Y59" s="1">
        <v>426017</v>
      </c>
      <c r="Z59" s="1">
        <v>11020</v>
      </c>
      <c r="AA59" s="1">
        <v>1261541</v>
      </c>
      <c r="AB59" s="1">
        <v>332443</v>
      </c>
      <c r="AC59" s="1">
        <v>481222</v>
      </c>
      <c r="AD59" s="1">
        <v>16336</v>
      </c>
      <c r="AE59" s="1">
        <v>1281214</v>
      </c>
      <c r="AF59" s="1">
        <v>318594</v>
      </c>
      <c r="AG59" s="1">
        <v>457078</v>
      </c>
      <c r="AH59" s="1">
        <v>9998</v>
      </c>
      <c r="AI59" s="1">
        <f t="shared" si="0"/>
        <v>67495.732484076434</v>
      </c>
      <c r="AJ59" s="1">
        <f t="shared" si="1"/>
        <v>67514</v>
      </c>
      <c r="AK59" s="8">
        <f t="shared" si="2"/>
        <v>2.7064697650147629E-4</v>
      </c>
      <c r="AL59" s="9">
        <f t="shared" si="3"/>
        <v>1992621.3333333333</v>
      </c>
      <c r="AM59" s="8">
        <f t="shared" si="4"/>
        <v>7.1892485554315266E-2</v>
      </c>
      <c r="AN59" s="9">
        <f t="shared" si="5"/>
        <v>68237.333333333328</v>
      </c>
      <c r="AO59" s="8">
        <f t="shared" si="6"/>
        <v>0.17581647539947842</v>
      </c>
      <c r="AP59" s="8">
        <f t="shared" si="8"/>
        <v>1.0987373897036523E-2</v>
      </c>
      <c r="AT59">
        <v>14.38</v>
      </c>
      <c r="AU59">
        <v>52.99</v>
      </c>
      <c r="AV59">
        <v>65.39</v>
      </c>
    </row>
    <row r="60" spans="1:48" x14ac:dyDescent="0.2">
      <c r="A60" t="s">
        <v>431</v>
      </c>
      <c r="B60">
        <v>1179753</v>
      </c>
      <c r="C60" s="1">
        <v>1232</v>
      </c>
      <c r="D60" s="1">
        <v>534995</v>
      </c>
      <c r="E60" s="2" t="s">
        <v>432</v>
      </c>
      <c r="G60" s="1">
        <v>1631378</v>
      </c>
      <c r="H60" s="1">
        <v>305733</v>
      </c>
      <c r="I60" s="1">
        <v>204743</v>
      </c>
      <c r="J60" s="1">
        <v>50932</v>
      </c>
      <c r="K60" s="1">
        <v>1613237</v>
      </c>
      <c r="L60" s="1">
        <v>258380</v>
      </c>
      <c r="M60" s="1">
        <v>182523</v>
      </c>
      <c r="N60" s="1">
        <v>41025</v>
      </c>
      <c r="O60" s="1">
        <v>2125063</v>
      </c>
      <c r="P60" s="1">
        <v>338303</v>
      </c>
      <c r="Q60" s="1">
        <v>58895</v>
      </c>
      <c r="R60" s="1">
        <v>13720</v>
      </c>
      <c r="S60" s="1">
        <v>1961628</v>
      </c>
      <c r="T60" s="1">
        <v>324221</v>
      </c>
      <c r="U60" s="1">
        <v>50894</v>
      </c>
      <c r="V60" s="1">
        <v>10543</v>
      </c>
      <c r="W60" s="1">
        <v>1806347</v>
      </c>
      <c r="X60" s="1">
        <v>313234</v>
      </c>
      <c r="Y60" s="1">
        <v>48189</v>
      </c>
      <c r="Z60" s="1">
        <v>12217</v>
      </c>
      <c r="AA60" s="1">
        <v>1631378</v>
      </c>
      <c r="AB60" s="1">
        <v>305733</v>
      </c>
      <c r="AC60" s="1">
        <v>52984</v>
      </c>
      <c r="AD60" s="1">
        <v>12171</v>
      </c>
      <c r="AE60" s="1">
        <v>1591208</v>
      </c>
      <c r="AF60" s="1">
        <v>293242</v>
      </c>
      <c r="AG60" s="1">
        <v>48151</v>
      </c>
      <c r="AH60" s="1">
        <v>14025</v>
      </c>
      <c r="AI60" s="1">
        <f t="shared" si="0"/>
        <v>48241.20829576195</v>
      </c>
      <c r="AJ60" s="1">
        <f t="shared" si="1"/>
        <v>48651</v>
      </c>
      <c r="AK60" s="8">
        <f t="shared" si="2"/>
        <v>8.4946401368237723E-3</v>
      </c>
      <c r="AL60" s="9">
        <f t="shared" si="3"/>
        <v>210637.33333333334</v>
      </c>
      <c r="AM60" s="8">
        <f t="shared" si="4"/>
        <v>2.8788937025115979E-2</v>
      </c>
      <c r="AN60" s="9">
        <f t="shared" si="5"/>
        <v>48640</v>
      </c>
      <c r="AO60" s="8">
        <f t="shared" si="6"/>
        <v>-4.5001178041309986E-2</v>
      </c>
      <c r="AP60" s="8">
        <f t="shared" si="8"/>
        <v>8.2666193141991418E-3</v>
      </c>
      <c r="AT60">
        <v>-23.05</v>
      </c>
      <c r="AU60">
        <v>54.44</v>
      </c>
      <c r="AV60">
        <v>78.91</v>
      </c>
    </row>
    <row r="61" spans="1:48" x14ac:dyDescent="0.2">
      <c r="A61" t="s">
        <v>472</v>
      </c>
      <c r="B61">
        <v>1177518</v>
      </c>
      <c r="C61" s="1">
        <v>1061</v>
      </c>
      <c r="D61" s="1">
        <v>412334</v>
      </c>
      <c r="E61" s="2" t="s">
        <v>473</v>
      </c>
      <c r="G61" s="1">
        <v>149024</v>
      </c>
      <c r="H61" s="1">
        <v>60158</v>
      </c>
      <c r="I61" s="1">
        <v>76982</v>
      </c>
      <c r="J61" s="1">
        <v>9878</v>
      </c>
      <c r="K61" s="1">
        <v>96133</v>
      </c>
      <c r="L61" s="1">
        <v>16629</v>
      </c>
      <c r="M61" s="1">
        <v>69406</v>
      </c>
      <c r="N61" s="1">
        <v>9571</v>
      </c>
      <c r="O61" s="1">
        <v>163865</v>
      </c>
      <c r="P61" s="1">
        <v>115619</v>
      </c>
      <c r="Q61" s="1">
        <v>24459</v>
      </c>
      <c r="R61" s="1">
        <v>3194</v>
      </c>
      <c r="S61" s="1">
        <v>159579</v>
      </c>
      <c r="T61" s="1">
        <v>79221</v>
      </c>
      <c r="U61" s="1">
        <v>26754</v>
      </c>
      <c r="V61" s="1">
        <v>6435</v>
      </c>
      <c r="W61" s="1">
        <v>155386</v>
      </c>
      <c r="X61" s="1">
        <v>72103</v>
      </c>
      <c r="Y61" s="1">
        <v>26134</v>
      </c>
      <c r="Z61" s="1">
        <v>6503</v>
      </c>
      <c r="AA61" s="1">
        <v>149024</v>
      </c>
      <c r="AB61" s="1">
        <v>60158</v>
      </c>
      <c r="AC61" s="1">
        <v>41765</v>
      </c>
      <c r="AD61" s="1">
        <v>5103</v>
      </c>
      <c r="AI61" s="1">
        <f t="shared" si="0"/>
        <v>21353.392024857589</v>
      </c>
      <c r="AJ61" s="1">
        <f t="shared" si="1"/>
        <v>21235</v>
      </c>
      <c r="AK61" s="8">
        <f t="shared" si="2"/>
        <v>-5.5444130243929024E-3</v>
      </c>
      <c r="AL61" s="9">
        <f t="shared" si="3"/>
        <v>103129.33333333333</v>
      </c>
      <c r="AM61" s="8">
        <f t="shared" si="4"/>
        <v>0.33965515748270159</v>
      </c>
      <c r="AN61" s="9">
        <f t="shared" si="5"/>
        <v>21509.333333333332</v>
      </c>
      <c r="AO61" s="8">
        <f t="shared" si="6"/>
        <v>1.1774988189242084</v>
      </c>
      <c r="AP61" s="8">
        <f t="shared" si="8"/>
        <v>7.3028822912168945E-3</v>
      </c>
      <c r="AT61">
        <v>19.29</v>
      </c>
      <c r="AU61">
        <v>110.92</v>
      </c>
      <c r="AV61">
        <v>123.19</v>
      </c>
    </row>
    <row r="62" spans="1:48" x14ac:dyDescent="0.2">
      <c r="A62" t="s">
        <v>381</v>
      </c>
      <c r="B62">
        <v>1202597</v>
      </c>
      <c r="C62" s="1">
        <v>2487</v>
      </c>
      <c r="D62" s="1">
        <v>1565319</v>
      </c>
      <c r="E62" s="2" t="s">
        <v>382</v>
      </c>
      <c r="G62" s="1">
        <v>1849270</v>
      </c>
      <c r="H62" s="1">
        <v>911470</v>
      </c>
      <c r="I62" s="1">
        <v>358747</v>
      </c>
      <c r="J62" s="1">
        <v>34312</v>
      </c>
      <c r="K62" s="1">
        <v>1568670</v>
      </c>
      <c r="L62" s="1">
        <v>561853</v>
      </c>
      <c r="M62" s="1">
        <v>352904</v>
      </c>
      <c r="N62" s="1">
        <v>156592</v>
      </c>
      <c r="O62" s="1">
        <v>2896008</v>
      </c>
      <c r="P62" s="1">
        <v>956746</v>
      </c>
      <c r="Q62" s="1">
        <v>54940</v>
      </c>
      <c r="R62" s="1">
        <v>5484</v>
      </c>
      <c r="S62" s="1">
        <v>2739584</v>
      </c>
      <c r="T62" s="1">
        <v>980714</v>
      </c>
      <c r="U62" s="1">
        <v>67715</v>
      </c>
      <c r="V62" s="1">
        <v>9743</v>
      </c>
      <c r="W62" s="1">
        <v>1892715</v>
      </c>
      <c r="X62" s="1">
        <v>987635</v>
      </c>
      <c r="Y62" s="1">
        <v>171851</v>
      </c>
      <c r="Z62" s="1">
        <v>35433</v>
      </c>
      <c r="AA62" s="1">
        <v>1849270</v>
      </c>
      <c r="AB62" s="1">
        <v>911470</v>
      </c>
      <c r="AC62" s="1">
        <v>102489</v>
      </c>
      <c r="AD62" s="1">
        <v>16125</v>
      </c>
      <c r="AE62" s="1">
        <v>1762753</v>
      </c>
      <c r="AF62" s="1">
        <v>581260</v>
      </c>
      <c r="AG62" s="1">
        <v>37719</v>
      </c>
      <c r="AH62" s="1">
        <v>-15125</v>
      </c>
      <c r="AI62" s="1">
        <f t="shared" si="0"/>
        <v>67123.456260720413</v>
      </c>
      <c r="AJ62" s="1">
        <f t="shared" si="1"/>
        <v>66785</v>
      </c>
      <c r="AK62" s="8">
        <f t="shared" si="2"/>
        <v>-5.0422948932454803E-3</v>
      </c>
      <c r="AL62" s="9">
        <f t="shared" si="3"/>
        <v>392674.66666666669</v>
      </c>
      <c r="AM62" s="8">
        <f t="shared" si="4"/>
        <v>9.4572683999215812E-2</v>
      </c>
      <c r="AN62" s="9">
        <f t="shared" si="5"/>
        <v>67546.666666666672</v>
      </c>
      <c r="AO62" s="8">
        <f t="shared" si="6"/>
        <v>0.96860184969301333</v>
      </c>
      <c r="AP62" s="8">
        <f t="shared" si="8"/>
        <v>6.3049555181191597E-3</v>
      </c>
      <c r="AT62">
        <v>7.05</v>
      </c>
      <c r="AU62">
        <v>16.260000000000002</v>
      </c>
      <c r="AV62">
        <v>0</v>
      </c>
    </row>
    <row r="63" spans="1:48" x14ac:dyDescent="0.2">
      <c r="A63" t="s">
        <v>61</v>
      </c>
      <c r="B63">
        <v>1094986</v>
      </c>
      <c r="C63" s="1">
        <v>342.4</v>
      </c>
      <c r="D63" s="1">
        <v>358170</v>
      </c>
      <c r="E63" s="2" t="s">
        <v>62</v>
      </c>
      <c r="G63" s="1">
        <v>435762</v>
      </c>
      <c r="H63" s="1">
        <v>220578</v>
      </c>
      <c r="I63" s="1">
        <v>82997</v>
      </c>
      <c r="J63" s="1">
        <v>30864</v>
      </c>
      <c r="K63" s="1">
        <v>372340</v>
      </c>
      <c r="L63" s="1">
        <v>210411</v>
      </c>
      <c r="M63" s="1">
        <v>92349</v>
      </c>
      <c r="N63" s="1">
        <v>26377</v>
      </c>
      <c r="O63" s="1">
        <v>504637</v>
      </c>
      <c r="P63" s="1">
        <v>236130</v>
      </c>
      <c r="Q63" s="1">
        <v>25462</v>
      </c>
      <c r="R63" s="1">
        <v>10609</v>
      </c>
      <c r="S63" s="1">
        <v>484433</v>
      </c>
      <c r="T63" s="1">
        <v>230821</v>
      </c>
      <c r="U63" s="1">
        <v>25100</v>
      </c>
      <c r="V63" s="1">
        <v>10709</v>
      </c>
      <c r="W63" s="1">
        <v>470700</v>
      </c>
      <c r="X63" s="1">
        <v>224412</v>
      </c>
      <c r="Y63" s="1">
        <v>22579</v>
      </c>
      <c r="Z63" s="1">
        <v>8684</v>
      </c>
      <c r="AA63" s="1">
        <v>435762</v>
      </c>
      <c r="AB63" s="1">
        <v>220578</v>
      </c>
      <c r="AC63" s="1">
        <v>21948</v>
      </c>
      <c r="AD63" s="1">
        <v>9728</v>
      </c>
      <c r="AE63" s="1">
        <v>432541</v>
      </c>
      <c r="AF63" s="1">
        <v>219759</v>
      </c>
      <c r="AG63" s="1">
        <v>21441</v>
      </c>
      <c r="AH63" s="1">
        <v>7906</v>
      </c>
      <c r="AI63" s="1">
        <f t="shared" si="0"/>
        <v>39752.497225305218</v>
      </c>
      <c r="AJ63" s="1">
        <f t="shared" si="1"/>
        <v>39730</v>
      </c>
      <c r="AK63" s="8">
        <f t="shared" si="2"/>
        <v>-5.6593237847957223E-4</v>
      </c>
      <c r="AL63" s="9">
        <f t="shared" si="3"/>
        <v>97521.333333333328</v>
      </c>
      <c r="AM63" s="8">
        <f t="shared" si="4"/>
        <v>0.17499829311099591</v>
      </c>
      <c r="AN63" s="9">
        <f t="shared" si="5"/>
        <v>40002.666666666664</v>
      </c>
      <c r="AO63" s="8">
        <f t="shared" si="6"/>
        <v>0.2960946950060479</v>
      </c>
      <c r="AP63" s="8">
        <f t="shared" si="8"/>
        <v>6.2931754939459239E-3</v>
      </c>
      <c r="AT63">
        <v>10.93</v>
      </c>
      <c r="AU63">
        <v>93.09</v>
      </c>
      <c r="AV63">
        <v>110.07</v>
      </c>
    </row>
    <row r="64" spans="1:48" x14ac:dyDescent="0.2">
      <c r="A64" t="s">
        <v>435</v>
      </c>
      <c r="B64">
        <v>731018</v>
      </c>
      <c r="C64" s="1">
        <v>23900</v>
      </c>
      <c r="D64" s="1">
        <v>1529926</v>
      </c>
      <c r="E64" s="2" t="s">
        <v>436</v>
      </c>
      <c r="G64" s="1">
        <v>2504007</v>
      </c>
      <c r="H64" s="1">
        <v>495167</v>
      </c>
      <c r="I64" s="1">
        <v>3781339</v>
      </c>
      <c r="J64" s="1">
        <v>59038</v>
      </c>
      <c r="K64" s="1">
        <v>11675434</v>
      </c>
      <c r="L64" s="1">
        <v>3144592</v>
      </c>
      <c r="M64" s="1">
        <v>3028947</v>
      </c>
      <c r="N64" s="1">
        <v>315804</v>
      </c>
      <c r="O64" s="1">
        <v>2777676</v>
      </c>
      <c r="P64" s="1">
        <v>539301</v>
      </c>
      <c r="Q64" s="1">
        <v>1116107</v>
      </c>
      <c r="R64" s="1">
        <v>22240</v>
      </c>
      <c r="S64" s="1">
        <v>2577821</v>
      </c>
      <c r="T64" s="1">
        <v>520594</v>
      </c>
      <c r="U64" s="1">
        <v>910609</v>
      </c>
      <c r="V64" s="1">
        <v>11118</v>
      </c>
      <c r="W64" s="1">
        <v>2583312</v>
      </c>
      <c r="X64" s="1">
        <v>513470</v>
      </c>
      <c r="Y64" s="1">
        <v>1001758</v>
      </c>
      <c r="Z64" s="1">
        <v>18934</v>
      </c>
      <c r="AA64" s="1">
        <v>2504007</v>
      </c>
      <c r="AB64" s="1">
        <v>495167</v>
      </c>
      <c r="AC64" s="1">
        <v>1053140</v>
      </c>
      <c r="AD64" s="1">
        <v>17093</v>
      </c>
      <c r="AE64" s="1">
        <v>2474165</v>
      </c>
      <c r="AF64" s="1">
        <v>480634</v>
      </c>
      <c r="AG64" s="1">
        <v>909546</v>
      </c>
      <c r="AH64" s="1">
        <v>20644</v>
      </c>
      <c r="AI64" s="1">
        <f t="shared" si="0"/>
        <v>69384.399092970518</v>
      </c>
      <c r="AJ64" s="1">
        <f t="shared" si="1"/>
        <v>69385</v>
      </c>
      <c r="AK64" s="8">
        <f t="shared" si="2"/>
        <v>8.6605495952518652E-6</v>
      </c>
      <c r="AL64" s="9">
        <f t="shared" si="3"/>
        <v>4037965.3333333335</v>
      </c>
      <c r="AM64" s="8">
        <f t="shared" si="4"/>
        <v>6.78665238248497E-2</v>
      </c>
      <c r="AN64" s="9">
        <f t="shared" si="5"/>
        <v>69722.666666666672</v>
      </c>
      <c r="AO64" s="8">
        <f t="shared" si="6"/>
        <v>0.18097948214144566</v>
      </c>
      <c r="AP64" s="8">
        <f t="shared" si="8"/>
        <v>4.8752684770376753E-3</v>
      </c>
      <c r="AT64">
        <v>17.329999999999998</v>
      </c>
      <c r="AU64">
        <v>82.34</v>
      </c>
      <c r="AV64">
        <v>302.85000000000002</v>
      </c>
    </row>
    <row r="65" spans="1:48" x14ac:dyDescent="0.2">
      <c r="A65" t="s">
        <v>630</v>
      </c>
      <c r="B65">
        <v>1082007</v>
      </c>
      <c r="C65" s="1">
        <v>853.3</v>
      </c>
      <c r="D65" s="1">
        <v>319453</v>
      </c>
      <c r="E65" s="2" t="s">
        <v>631</v>
      </c>
      <c r="G65" s="1">
        <v>971486</v>
      </c>
      <c r="H65" s="1">
        <v>196422</v>
      </c>
      <c r="I65" s="1">
        <v>134777</v>
      </c>
      <c r="J65" s="1">
        <v>38390</v>
      </c>
      <c r="K65" s="1">
        <v>804845</v>
      </c>
      <c r="L65" s="1">
        <v>181300</v>
      </c>
      <c r="M65" s="1">
        <v>136727</v>
      </c>
      <c r="N65" s="1">
        <v>38024</v>
      </c>
      <c r="O65" s="1">
        <v>1123781</v>
      </c>
      <c r="P65" s="1">
        <v>213071</v>
      </c>
      <c r="Q65" s="1">
        <v>44636</v>
      </c>
      <c r="R65" s="1">
        <v>11255</v>
      </c>
      <c r="S65" s="1">
        <v>1059667</v>
      </c>
      <c r="T65" s="1">
        <v>206816</v>
      </c>
      <c r="U65" s="1">
        <v>41082</v>
      </c>
      <c r="V65" s="1">
        <v>10006</v>
      </c>
      <c r="W65" s="1">
        <v>1033325</v>
      </c>
      <c r="X65" s="1">
        <v>202231</v>
      </c>
      <c r="Y65" s="1">
        <v>40417</v>
      </c>
      <c r="Z65" s="1">
        <v>10705</v>
      </c>
      <c r="AA65" s="1">
        <v>971486</v>
      </c>
      <c r="AB65" s="1">
        <v>196422</v>
      </c>
      <c r="AC65" s="1">
        <v>37261</v>
      </c>
      <c r="AD65" s="1">
        <v>10517</v>
      </c>
      <c r="AE65" s="1">
        <v>889029</v>
      </c>
      <c r="AF65" s="1">
        <v>189687</v>
      </c>
      <c r="AG65" s="1">
        <v>33012</v>
      </c>
      <c r="AH65" s="1">
        <v>8683</v>
      </c>
      <c r="AI65" s="1">
        <f t="shared" si="0"/>
        <v>42480.452127659577</v>
      </c>
      <c r="AJ65" s="1">
        <f t="shared" si="1"/>
        <v>42483</v>
      </c>
      <c r="AK65" s="8">
        <f t="shared" si="2"/>
        <v>5.9977524080156996E-5</v>
      </c>
      <c r="AL65" s="9">
        <f t="shared" si="3"/>
        <v>168180</v>
      </c>
      <c r="AM65" s="8">
        <f t="shared" si="4"/>
        <v>0.2478390229786982</v>
      </c>
      <c r="AN65" s="9">
        <f t="shared" si="5"/>
        <v>42621.333333333336</v>
      </c>
      <c r="AO65" s="8">
        <f t="shared" si="6"/>
        <v>0.11021967526265519</v>
      </c>
      <c r="AP65" s="8">
        <f t="shared" si="8"/>
        <v>3.3163772657218704E-3</v>
      </c>
      <c r="AT65">
        <v>-2.91</v>
      </c>
      <c r="AU65">
        <v>38.950000000000003</v>
      </c>
      <c r="AV65">
        <v>38.03</v>
      </c>
    </row>
    <row r="66" spans="1:48" x14ac:dyDescent="0.2">
      <c r="A66" t="s">
        <v>222</v>
      </c>
      <c r="B66">
        <v>1178276</v>
      </c>
      <c r="C66" s="1">
        <v>295</v>
      </c>
      <c r="D66" s="1">
        <v>159353</v>
      </c>
      <c r="E66" s="2" t="s">
        <v>223</v>
      </c>
      <c r="G66" s="1">
        <v>903820</v>
      </c>
      <c r="H66" s="1">
        <v>115737</v>
      </c>
      <c r="I66" s="1">
        <v>115489</v>
      </c>
      <c r="J66" s="1">
        <v>18326</v>
      </c>
      <c r="K66" s="1">
        <v>1073497</v>
      </c>
      <c r="L66" s="1">
        <v>103961</v>
      </c>
      <c r="M66" s="1">
        <v>108572</v>
      </c>
      <c r="N66" s="1">
        <v>13515</v>
      </c>
      <c r="O66" s="1">
        <v>931853</v>
      </c>
      <c r="P66" s="1">
        <v>123653</v>
      </c>
      <c r="Q66" s="1">
        <v>24853</v>
      </c>
      <c r="R66" s="1">
        <v>3947</v>
      </c>
      <c r="S66" s="1">
        <v>921090</v>
      </c>
      <c r="T66" s="1">
        <v>119653</v>
      </c>
      <c r="U66" s="1">
        <v>33069</v>
      </c>
      <c r="V66" s="1">
        <v>6885</v>
      </c>
      <c r="W66" s="1">
        <v>902990</v>
      </c>
      <c r="X66" s="1">
        <v>112717</v>
      </c>
      <c r="Y66" s="1">
        <v>24649</v>
      </c>
      <c r="Z66" s="1">
        <v>3938</v>
      </c>
      <c r="AA66" s="1">
        <v>903820</v>
      </c>
      <c r="AB66" s="1">
        <v>115737</v>
      </c>
      <c r="AC66" s="1">
        <v>27702</v>
      </c>
      <c r="AD66" s="1">
        <v>4973</v>
      </c>
      <c r="AE66" s="1">
        <v>937833</v>
      </c>
      <c r="AF66" s="1">
        <v>110678</v>
      </c>
      <c r="AG66" s="1">
        <v>27708</v>
      </c>
      <c r="AH66" s="1">
        <v>5103</v>
      </c>
      <c r="AI66" s="1">
        <f t="shared" ref="AI66:AI129" si="9">D66/E66</f>
        <v>19746.344485749691</v>
      </c>
      <c r="AJ66" s="1">
        <f t="shared" ref="AJ66:AJ129" si="10">R66+V66+Z66+AD66</f>
        <v>19743</v>
      </c>
      <c r="AK66" s="8">
        <f t="shared" ref="AK66:AK129" si="11">AJ66/AI66-1</f>
        <v>-1.6937239964109896E-4</v>
      </c>
      <c r="AL66" s="9">
        <f t="shared" ref="AL66:AL129" si="12">(Y66+U66+Q66)/3*4</f>
        <v>110094.66666666667</v>
      </c>
      <c r="AM66" s="8">
        <f t="shared" ref="AM66:AM129" si="13">AL66/I66-1</f>
        <v>-4.6708633145436607E-2</v>
      </c>
      <c r="AN66" s="9">
        <f t="shared" ref="AN66:AN129" si="14">(Z66+V66+R66)/3*4</f>
        <v>19693.333333333332</v>
      </c>
      <c r="AO66" s="8">
        <f t="shared" ref="AO66:AO129" si="15">AN66/J66-1</f>
        <v>7.4611662846956861E-2</v>
      </c>
      <c r="AP66" s="8">
        <f t="shared" si="8"/>
        <v>-2.6846058750071844E-3</v>
      </c>
      <c r="AT66">
        <v>12.13</v>
      </c>
      <c r="AU66">
        <v>70.62</v>
      </c>
      <c r="AV66">
        <v>112.96</v>
      </c>
    </row>
    <row r="67" spans="1:48" x14ac:dyDescent="0.2">
      <c r="A67" t="s">
        <v>372</v>
      </c>
      <c r="B67">
        <v>136010</v>
      </c>
      <c r="C67" s="1">
        <v>696.1</v>
      </c>
      <c r="D67" s="1">
        <v>1878124</v>
      </c>
      <c r="E67" s="2" t="s">
        <v>373</v>
      </c>
      <c r="G67" s="1">
        <v>2491459</v>
      </c>
      <c r="H67" s="1">
        <v>1198705</v>
      </c>
      <c r="I67" s="1">
        <v>423602</v>
      </c>
      <c r="J67" s="1">
        <v>155960</v>
      </c>
      <c r="K67" s="1">
        <v>2134946</v>
      </c>
      <c r="L67" s="1">
        <v>1079970</v>
      </c>
      <c r="M67" s="1">
        <v>387828</v>
      </c>
      <c r="N67" s="1">
        <v>96417</v>
      </c>
      <c r="O67" s="1">
        <v>2454730</v>
      </c>
      <c r="P67" s="1">
        <v>1343523</v>
      </c>
      <c r="Q67" s="1">
        <v>266919</v>
      </c>
      <c r="R67" s="1">
        <v>118939</v>
      </c>
      <c r="S67" s="1">
        <v>2572810</v>
      </c>
      <c r="T67" s="1">
        <v>1243009</v>
      </c>
      <c r="U67" s="1">
        <v>135271</v>
      </c>
      <c r="V67" s="1">
        <v>43430</v>
      </c>
      <c r="W67" s="1">
        <v>2549054</v>
      </c>
      <c r="X67" s="1">
        <v>1216925</v>
      </c>
      <c r="Y67" s="1">
        <v>122529</v>
      </c>
      <c r="Z67" s="1">
        <v>12164</v>
      </c>
      <c r="AA67" s="1">
        <v>2491459</v>
      </c>
      <c r="AB67" s="1">
        <v>1198705</v>
      </c>
      <c r="AC67" s="1">
        <v>105219</v>
      </c>
      <c r="AD67" s="1">
        <v>59223</v>
      </c>
      <c r="AE67" s="1">
        <v>2394358</v>
      </c>
      <c r="AF67" s="1">
        <v>1185073</v>
      </c>
      <c r="AG67" s="1">
        <v>111498</v>
      </c>
      <c r="AH67" s="1">
        <v>30131</v>
      </c>
      <c r="AI67" s="1">
        <f t="shared" si="9"/>
        <v>233888.41843088419</v>
      </c>
      <c r="AJ67" s="1">
        <f t="shared" si="10"/>
        <v>233756</v>
      </c>
      <c r="AK67" s="8">
        <f t="shared" si="11"/>
        <v>-5.6616070078441272E-4</v>
      </c>
      <c r="AL67" s="9">
        <f t="shared" si="12"/>
        <v>699625.33333333337</v>
      </c>
      <c r="AM67" s="8">
        <f t="shared" si="13"/>
        <v>0.65161008053156833</v>
      </c>
      <c r="AN67" s="9">
        <f t="shared" si="14"/>
        <v>232710.66666666666</v>
      </c>
      <c r="AO67" s="8">
        <f t="shared" si="15"/>
        <v>0.49211763700094036</v>
      </c>
      <c r="AP67" s="8">
        <f t="shared" si="8"/>
        <v>-5.0355283605698631E-3</v>
      </c>
      <c r="AT67">
        <v>15.86</v>
      </c>
      <c r="AU67">
        <v>57.27</v>
      </c>
      <c r="AV67">
        <v>114.88</v>
      </c>
    </row>
    <row r="68" spans="1:48" x14ac:dyDescent="0.2">
      <c r="A68" t="s">
        <v>295</v>
      </c>
      <c r="B68">
        <v>1082858</v>
      </c>
      <c r="C68" s="1">
        <v>8294</v>
      </c>
      <c r="D68" s="1">
        <v>1151513</v>
      </c>
      <c r="E68" s="2" t="s">
        <v>296</v>
      </c>
      <c r="G68" s="1">
        <v>686380</v>
      </c>
      <c r="H68" s="1">
        <v>612940</v>
      </c>
      <c r="I68" s="1">
        <v>575795</v>
      </c>
      <c r="J68" s="1">
        <v>70315</v>
      </c>
      <c r="K68" s="1">
        <v>597033</v>
      </c>
      <c r="L68" s="1">
        <v>552235</v>
      </c>
      <c r="M68" s="1">
        <v>543262</v>
      </c>
      <c r="N68" s="1">
        <v>31656</v>
      </c>
      <c r="O68" s="1">
        <v>703148</v>
      </c>
      <c r="P68" s="1">
        <v>634616</v>
      </c>
      <c r="Q68" s="1">
        <v>152849</v>
      </c>
      <c r="R68" s="1">
        <v>19177</v>
      </c>
      <c r="S68" s="1">
        <v>707635</v>
      </c>
      <c r="T68" s="1">
        <v>634791</v>
      </c>
      <c r="U68" s="1">
        <v>160477</v>
      </c>
      <c r="V68" s="1">
        <v>31874</v>
      </c>
      <c r="W68" s="1">
        <v>712390</v>
      </c>
      <c r="X68" s="1">
        <v>603046</v>
      </c>
      <c r="Y68" s="1">
        <v>144843</v>
      </c>
      <c r="Z68" s="1">
        <v>19505</v>
      </c>
      <c r="AA68" s="1">
        <v>686380</v>
      </c>
      <c r="AB68" s="1">
        <v>612940</v>
      </c>
      <c r="AC68" s="1">
        <v>140302</v>
      </c>
      <c r="AD68" s="1">
        <v>24165</v>
      </c>
      <c r="AE68" s="1">
        <v>663264</v>
      </c>
      <c r="AF68" s="1">
        <v>588794</v>
      </c>
      <c r="AG68" s="1">
        <v>152799</v>
      </c>
      <c r="AH68" s="1">
        <v>20750</v>
      </c>
      <c r="AI68" s="1">
        <f t="shared" si="9"/>
        <v>94696.792763157893</v>
      </c>
      <c r="AJ68" s="1">
        <f t="shared" si="10"/>
        <v>94721</v>
      </c>
      <c r="AK68" s="8">
        <f t="shared" si="11"/>
        <v>2.5562889867503102E-4</v>
      </c>
      <c r="AL68" s="9">
        <f t="shared" si="12"/>
        <v>610892</v>
      </c>
      <c r="AM68" s="8">
        <f t="shared" si="13"/>
        <v>6.0953985359372798E-2</v>
      </c>
      <c r="AN68" s="9">
        <f t="shared" si="14"/>
        <v>94074.666666666672</v>
      </c>
      <c r="AO68" s="8">
        <f t="shared" si="15"/>
        <v>0.33790324492166213</v>
      </c>
      <c r="AP68" s="8">
        <f t="shared" si="8"/>
        <v>-6.5696638538456087E-3</v>
      </c>
      <c r="AT68">
        <v>17.88</v>
      </c>
      <c r="AU68">
        <v>67.63</v>
      </c>
      <c r="AV68">
        <v>85.03</v>
      </c>
    </row>
    <row r="69" spans="1:48" x14ac:dyDescent="0.2">
      <c r="A69" t="s">
        <v>635</v>
      </c>
      <c r="B69">
        <v>1158161</v>
      </c>
      <c r="C69" s="1">
        <v>1982</v>
      </c>
      <c r="D69" s="1">
        <v>792800</v>
      </c>
      <c r="E69" s="2" t="s">
        <v>636</v>
      </c>
      <c r="G69" s="1">
        <v>306184</v>
      </c>
      <c r="H69" s="1">
        <v>259179</v>
      </c>
      <c r="I69" s="1">
        <v>151458</v>
      </c>
      <c r="J69" s="1">
        <v>50905</v>
      </c>
      <c r="K69" s="1">
        <v>275050</v>
      </c>
      <c r="L69" s="1">
        <v>231368</v>
      </c>
      <c r="M69" s="1">
        <v>134919</v>
      </c>
      <c r="N69" s="1">
        <v>38216</v>
      </c>
      <c r="O69" s="1">
        <v>284140</v>
      </c>
      <c r="P69" s="1">
        <v>236094</v>
      </c>
      <c r="Q69" s="1">
        <v>40629</v>
      </c>
      <c r="R69" s="1">
        <v>12293</v>
      </c>
      <c r="S69" s="1">
        <v>301271</v>
      </c>
      <c r="T69" s="1">
        <v>253547</v>
      </c>
      <c r="U69" s="1">
        <v>38345</v>
      </c>
      <c r="V69" s="1">
        <v>13438</v>
      </c>
      <c r="W69" s="1">
        <v>321110</v>
      </c>
      <c r="X69" s="1">
        <v>239817</v>
      </c>
      <c r="Y69" s="1">
        <v>38187</v>
      </c>
      <c r="Z69" s="1">
        <v>10281</v>
      </c>
      <c r="AA69" s="1">
        <v>306184</v>
      </c>
      <c r="AB69" s="1">
        <v>259179</v>
      </c>
      <c r="AC69" s="1">
        <v>37698</v>
      </c>
      <c r="AD69" s="1">
        <v>12321</v>
      </c>
      <c r="AE69" s="1">
        <v>294503</v>
      </c>
      <c r="AF69" s="1">
        <v>246792</v>
      </c>
      <c r="AG69" s="1">
        <v>39419</v>
      </c>
      <c r="AH69" s="1">
        <v>15549</v>
      </c>
      <c r="AI69" s="1">
        <f t="shared" si="9"/>
        <v>48341.463414634149</v>
      </c>
      <c r="AJ69" s="1">
        <f t="shared" si="10"/>
        <v>48333</v>
      </c>
      <c r="AK69" s="8">
        <f t="shared" si="11"/>
        <v>-1.750756811301768E-4</v>
      </c>
      <c r="AL69" s="9">
        <f t="shared" si="12"/>
        <v>156214.66666666666</v>
      </c>
      <c r="AM69" s="8">
        <f t="shared" si="13"/>
        <v>3.1405846285218697E-2</v>
      </c>
      <c r="AN69" s="9">
        <f t="shared" si="14"/>
        <v>48016</v>
      </c>
      <c r="AO69" s="8">
        <f t="shared" si="15"/>
        <v>-5.6752774776544501E-2</v>
      </c>
      <c r="AP69" s="8">
        <f t="shared" ref="AP69:AP131" si="16">AN69/AI69-1</f>
        <v>-6.7325933400605997E-3</v>
      </c>
      <c r="AT69">
        <v>3.45</v>
      </c>
      <c r="AU69">
        <v>9.5</v>
      </c>
      <c r="AV69">
        <v>35.549999999999997</v>
      </c>
    </row>
    <row r="70" spans="1:48" x14ac:dyDescent="0.2">
      <c r="A70" t="s">
        <v>140</v>
      </c>
      <c r="B70">
        <v>1080613</v>
      </c>
      <c r="C70" s="1">
        <v>15340</v>
      </c>
      <c r="D70" s="1">
        <v>1797665</v>
      </c>
      <c r="E70" s="2" t="s">
        <v>141</v>
      </c>
      <c r="G70" s="1">
        <v>409049</v>
      </c>
      <c r="H70" s="1">
        <v>241011</v>
      </c>
      <c r="I70" s="1">
        <v>326188</v>
      </c>
      <c r="J70" s="1">
        <v>64819</v>
      </c>
      <c r="K70" s="1">
        <v>287526</v>
      </c>
      <c r="L70" s="1">
        <v>185297</v>
      </c>
      <c r="M70" s="1">
        <v>197996</v>
      </c>
      <c r="N70" s="1">
        <v>27221</v>
      </c>
      <c r="O70" s="1">
        <v>498232</v>
      </c>
      <c r="P70" s="1">
        <v>305888</v>
      </c>
      <c r="Q70" s="1">
        <v>135437</v>
      </c>
      <c r="R70" s="1">
        <v>28892</v>
      </c>
      <c r="S70" s="1">
        <v>435871</v>
      </c>
      <c r="T70" s="1">
        <v>276354</v>
      </c>
      <c r="U70" s="1">
        <v>117929</v>
      </c>
      <c r="V70" s="1">
        <v>32606</v>
      </c>
      <c r="W70" s="1">
        <v>463786</v>
      </c>
      <c r="X70" s="1">
        <v>243280</v>
      </c>
      <c r="Y70" s="1">
        <v>106411</v>
      </c>
      <c r="Z70" s="1">
        <v>16794</v>
      </c>
      <c r="AA70" s="1">
        <v>409049</v>
      </c>
      <c r="AB70" s="1">
        <v>241011</v>
      </c>
      <c r="AC70" s="1">
        <v>96120</v>
      </c>
      <c r="AD70" s="1">
        <v>26965</v>
      </c>
      <c r="AE70" s="1">
        <v>348231</v>
      </c>
      <c r="AF70" s="1">
        <v>213603</v>
      </c>
      <c r="AG70" s="1">
        <v>87051</v>
      </c>
      <c r="AH70" s="1">
        <v>18862</v>
      </c>
      <c r="AI70" s="1">
        <f t="shared" si="9"/>
        <v>105249.70725995317</v>
      </c>
      <c r="AJ70" s="1">
        <f t="shared" si="10"/>
        <v>105257</v>
      </c>
      <c r="AK70" s="8">
        <f t="shared" si="11"/>
        <v>6.9289884377710109E-5</v>
      </c>
      <c r="AL70" s="9">
        <f t="shared" si="12"/>
        <v>479702.66666666669</v>
      </c>
      <c r="AM70" s="8">
        <f t="shared" si="13"/>
        <v>0.47063247779399209</v>
      </c>
      <c r="AN70" s="9">
        <f t="shared" si="14"/>
        <v>104389.33333333333</v>
      </c>
      <c r="AO70" s="8">
        <f t="shared" si="15"/>
        <v>0.61047429508837414</v>
      </c>
      <c r="AP70" s="8">
        <f t="shared" si="16"/>
        <v>-8.174596861298844E-3</v>
      </c>
      <c r="AT70">
        <v>4.17</v>
      </c>
      <c r="AU70">
        <v>224.61</v>
      </c>
      <c r="AV70">
        <v>362.19</v>
      </c>
    </row>
    <row r="71" spans="1:48" x14ac:dyDescent="0.2">
      <c r="A71" t="s">
        <v>427</v>
      </c>
      <c r="B71">
        <v>1168186</v>
      </c>
      <c r="C71" s="1">
        <v>59720</v>
      </c>
      <c r="D71" s="1">
        <v>1766149</v>
      </c>
      <c r="E71" s="2" t="s">
        <v>428</v>
      </c>
      <c r="G71" s="1">
        <v>8566795</v>
      </c>
      <c r="H71" s="1">
        <v>1321514</v>
      </c>
      <c r="I71" s="1">
        <v>1077426</v>
      </c>
      <c r="J71" s="1">
        <v>141100</v>
      </c>
      <c r="K71" s="1">
        <v>7830235</v>
      </c>
      <c r="L71" s="1">
        <v>1236894</v>
      </c>
      <c r="M71" s="1">
        <v>1041997</v>
      </c>
      <c r="N71" s="1">
        <v>132467</v>
      </c>
      <c r="O71" s="1">
        <v>10069683</v>
      </c>
      <c r="P71" s="1">
        <v>1371237</v>
      </c>
      <c r="Q71" s="1">
        <v>338042</v>
      </c>
      <c r="R71" s="1">
        <v>60232</v>
      </c>
      <c r="S71" s="1">
        <v>9163564</v>
      </c>
      <c r="T71" s="1">
        <v>1321455</v>
      </c>
      <c r="U71" s="1">
        <v>252889</v>
      </c>
      <c r="V71" s="1">
        <v>16029</v>
      </c>
      <c r="W71" s="1">
        <v>8915723</v>
      </c>
      <c r="X71" s="1">
        <v>1318289</v>
      </c>
      <c r="Y71" s="1">
        <v>222365</v>
      </c>
      <c r="Z71" s="1">
        <v>19426</v>
      </c>
      <c r="AA71" s="1">
        <v>8566795</v>
      </c>
      <c r="AB71" s="1">
        <v>1321514</v>
      </c>
      <c r="AC71" s="1">
        <v>275817</v>
      </c>
      <c r="AD71" s="1">
        <v>33404</v>
      </c>
      <c r="AE71" s="1">
        <v>8510686</v>
      </c>
      <c r="AF71" s="1">
        <v>1312117</v>
      </c>
      <c r="AG71" s="1">
        <v>269027</v>
      </c>
      <c r="AH71" s="1">
        <v>36191</v>
      </c>
      <c r="AI71" s="1">
        <f t="shared" si="9"/>
        <v>128634.30444282593</v>
      </c>
      <c r="AJ71" s="1">
        <f t="shared" si="10"/>
        <v>129091</v>
      </c>
      <c r="AK71" s="8">
        <f t="shared" si="11"/>
        <v>3.5503403167003178E-3</v>
      </c>
      <c r="AL71" s="9">
        <f t="shared" si="12"/>
        <v>1084394.6666666667</v>
      </c>
      <c r="AM71" s="8">
        <f t="shared" si="13"/>
        <v>6.4678842599554809E-3</v>
      </c>
      <c r="AN71" s="9">
        <f t="shared" si="14"/>
        <v>127582.66666666667</v>
      </c>
      <c r="AO71" s="8">
        <f t="shared" si="15"/>
        <v>-9.5799669265296483E-2</v>
      </c>
      <c r="AP71" s="8">
        <f t="shared" si="16"/>
        <v>-8.1754068692203585E-3</v>
      </c>
      <c r="AT71">
        <v>18.649999999999999</v>
      </c>
      <c r="AU71">
        <v>15.46</v>
      </c>
      <c r="AV71">
        <v>4.03</v>
      </c>
    </row>
    <row r="72" spans="1:48" x14ac:dyDescent="0.2">
      <c r="A72" t="s">
        <v>212</v>
      </c>
      <c r="B72">
        <v>1100718</v>
      </c>
      <c r="C72" s="1">
        <v>2605</v>
      </c>
      <c r="D72" s="1">
        <v>1019291</v>
      </c>
      <c r="E72" s="2" t="s">
        <v>213</v>
      </c>
      <c r="G72" s="1">
        <v>343970.46</v>
      </c>
      <c r="H72" s="1">
        <v>227255.52</v>
      </c>
      <c r="I72" s="1">
        <v>149585.35999999999</v>
      </c>
      <c r="J72" s="1">
        <v>10652.89</v>
      </c>
      <c r="K72" s="1">
        <v>228399.45</v>
      </c>
      <c r="L72" s="1">
        <v>150814.29</v>
      </c>
      <c r="M72" s="1">
        <v>115284.2</v>
      </c>
      <c r="N72" s="1">
        <v>-15222.52</v>
      </c>
      <c r="O72" s="1">
        <v>373782.97</v>
      </c>
      <c r="P72" s="1">
        <v>231634.89</v>
      </c>
      <c r="Q72" s="1">
        <v>44670.67</v>
      </c>
      <c r="R72" s="1">
        <v>5177.2</v>
      </c>
      <c r="S72" s="1">
        <v>376193.81</v>
      </c>
      <c r="T72" s="1">
        <v>229741.1</v>
      </c>
      <c r="U72" s="1">
        <v>42595.1</v>
      </c>
      <c r="V72" s="1">
        <v>6835.04</v>
      </c>
      <c r="W72" s="1">
        <v>372536.16</v>
      </c>
      <c r="X72" s="1">
        <v>237022.5</v>
      </c>
      <c r="Y72" s="1">
        <v>42890.85</v>
      </c>
      <c r="Z72" s="1">
        <v>4115.83</v>
      </c>
      <c r="AA72" s="1">
        <v>343970.46</v>
      </c>
      <c r="AB72" s="1">
        <v>227255.52</v>
      </c>
      <c r="AC72" s="1">
        <v>41626.86</v>
      </c>
      <c r="AD72" s="1">
        <v>5645.56</v>
      </c>
      <c r="AE72" s="1">
        <v>267491</v>
      </c>
      <c r="AF72" s="1">
        <v>163343.88</v>
      </c>
      <c r="AG72" s="1">
        <v>38962.42</v>
      </c>
      <c r="AH72" s="1">
        <v>2456.02</v>
      </c>
      <c r="AI72" s="1">
        <f t="shared" si="9"/>
        <v>21775.069429609055</v>
      </c>
      <c r="AJ72" s="1">
        <f t="shared" si="10"/>
        <v>21773.63</v>
      </c>
      <c r="AK72" s="8">
        <f t="shared" si="11"/>
        <v>-6.6104478504969144E-5</v>
      </c>
      <c r="AL72" s="9">
        <f t="shared" si="12"/>
        <v>173542.16</v>
      </c>
      <c r="AM72" s="8">
        <f t="shared" si="13"/>
        <v>0.16015471032726736</v>
      </c>
      <c r="AN72" s="9">
        <f t="shared" si="14"/>
        <v>21504.093333333334</v>
      </c>
      <c r="AO72" s="8">
        <f t="shared" si="15"/>
        <v>1.018615918622396</v>
      </c>
      <c r="AP72" s="8">
        <f t="shared" si="16"/>
        <v>-1.2444327544014921E-2</v>
      </c>
      <c r="AT72">
        <v>-2.75</v>
      </c>
      <c r="AU72">
        <v>42.3</v>
      </c>
      <c r="AV72">
        <v>622.38</v>
      </c>
    </row>
    <row r="73" spans="1:48" x14ac:dyDescent="0.2">
      <c r="A73" t="s">
        <v>78</v>
      </c>
      <c r="B73">
        <v>1176114</v>
      </c>
      <c r="C73" s="1">
        <v>2428</v>
      </c>
      <c r="D73" s="1">
        <v>536817</v>
      </c>
      <c r="E73" s="2" t="s">
        <v>79</v>
      </c>
      <c r="G73" s="1">
        <v>738006</v>
      </c>
      <c r="H73" s="1">
        <v>258224</v>
      </c>
      <c r="I73" s="1">
        <v>556164</v>
      </c>
      <c r="J73" s="1">
        <v>33518</v>
      </c>
      <c r="K73" s="1">
        <v>485841</v>
      </c>
      <c r="L73" s="1">
        <v>247020</v>
      </c>
      <c r="M73" s="1">
        <v>354791</v>
      </c>
      <c r="N73" s="1">
        <v>26581</v>
      </c>
      <c r="O73" s="1">
        <v>797328</v>
      </c>
      <c r="P73" s="1">
        <v>248552</v>
      </c>
      <c r="Q73" s="1">
        <v>165085</v>
      </c>
      <c r="R73" s="1">
        <v>10515</v>
      </c>
      <c r="S73" s="1">
        <v>743161</v>
      </c>
      <c r="T73" s="1">
        <v>248314</v>
      </c>
      <c r="U73" s="1">
        <v>143679</v>
      </c>
      <c r="V73" s="1">
        <v>8011</v>
      </c>
      <c r="W73" s="1">
        <v>808293</v>
      </c>
      <c r="X73" s="1">
        <v>259576</v>
      </c>
      <c r="Y73" s="1">
        <v>164588</v>
      </c>
      <c r="Z73" s="1">
        <v>9279</v>
      </c>
      <c r="AA73" s="1">
        <v>738006</v>
      </c>
      <c r="AB73" s="1">
        <v>258224</v>
      </c>
      <c r="AC73" s="1">
        <v>171929</v>
      </c>
      <c r="AD73" s="1">
        <v>10039</v>
      </c>
      <c r="AE73" s="1">
        <v>712647</v>
      </c>
      <c r="AF73" s="1">
        <v>257216</v>
      </c>
      <c r="AG73" s="1">
        <v>183899</v>
      </c>
      <c r="AH73" s="1">
        <v>9211</v>
      </c>
      <c r="AI73" s="1">
        <f t="shared" si="9"/>
        <v>37644.950911640954</v>
      </c>
      <c r="AJ73" s="1">
        <f t="shared" si="10"/>
        <v>37844</v>
      </c>
      <c r="AK73" s="8">
        <f t="shared" si="11"/>
        <v>5.2875374662129104E-3</v>
      </c>
      <c r="AL73" s="9">
        <f t="shared" si="12"/>
        <v>631136</v>
      </c>
      <c r="AM73" s="8">
        <f t="shared" si="13"/>
        <v>0.13480196488805452</v>
      </c>
      <c r="AN73" s="9">
        <f t="shared" si="14"/>
        <v>37073.333333333336</v>
      </c>
      <c r="AO73" s="8">
        <f t="shared" si="15"/>
        <v>0.10607235913041757</v>
      </c>
      <c r="AP73" s="8">
        <f t="shared" si="16"/>
        <v>-1.5184442122113562E-2</v>
      </c>
      <c r="AT73">
        <v>13.33</v>
      </c>
      <c r="AU73">
        <v>71.150000000000006</v>
      </c>
      <c r="AV73">
        <v>34.64</v>
      </c>
    </row>
    <row r="74" spans="1:48" x14ac:dyDescent="0.2">
      <c r="A74" t="s">
        <v>116</v>
      </c>
      <c r="B74">
        <v>1184936</v>
      </c>
      <c r="C74" s="1">
        <v>865</v>
      </c>
      <c r="D74" s="1">
        <v>1715804</v>
      </c>
      <c r="E74" s="2" t="s">
        <v>117</v>
      </c>
      <c r="G74" s="1">
        <v>1209562</v>
      </c>
      <c r="H74" s="1">
        <v>549030</v>
      </c>
      <c r="I74" s="1">
        <v>921766</v>
      </c>
      <c r="J74" s="1">
        <v>113065</v>
      </c>
      <c r="K74" s="1">
        <v>1192945</v>
      </c>
      <c r="L74" s="1">
        <v>520280</v>
      </c>
      <c r="M74" s="1">
        <v>1014618</v>
      </c>
      <c r="N74" s="1">
        <v>137930</v>
      </c>
      <c r="O74" s="1">
        <v>1516201</v>
      </c>
      <c r="P74" s="1">
        <v>572456</v>
      </c>
      <c r="Q74" s="1">
        <v>234476</v>
      </c>
      <c r="R74" s="1">
        <v>28413</v>
      </c>
      <c r="S74" s="1">
        <v>1257588</v>
      </c>
      <c r="T74" s="1">
        <v>566179</v>
      </c>
      <c r="U74" s="1">
        <v>231249</v>
      </c>
      <c r="V74" s="1">
        <v>31482</v>
      </c>
      <c r="W74" s="1">
        <v>1247170</v>
      </c>
      <c r="X74" s="1">
        <v>552424</v>
      </c>
      <c r="Y74" s="1">
        <v>235281</v>
      </c>
      <c r="Z74" s="1">
        <v>23593</v>
      </c>
      <c r="AA74" s="1">
        <v>1209562</v>
      </c>
      <c r="AB74" s="1">
        <v>549030</v>
      </c>
      <c r="AC74" s="1">
        <v>230641</v>
      </c>
      <c r="AD74" s="1">
        <v>29596</v>
      </c>
      <c r="AE74" s="1">
        <v>1176761</v>
      </c>
      <c r="AF74" s="1">
        <v>539107</v>
      </c>
      <c r="AG74" s="1">
        <v>233920</v>
      </c>
      <c r="AH74" s="1">
        <v>27570</v>
      </c>
      <c r="AI74" s="1">
        <f t="shared" si="9"/>
        <v>113105.07580751483</v>
      </c>
      <c r="AJ74" s="1">
        <f t="shared" si="10"/>
        <v>113084</v>
      </c>
      <c r="AK74" s="8">
        <f t="shared" si="11"/>
        <v>-1.8633829971259619E-4</v>
      </c>
      <c r="AL74" s="9">
        <f t="shared" si="12"/>
        <v>934674.66666666663</v>
      </c>
      <c r="AM74" s="8">
        <f t="shared" si="13"/>
        <v>1.4004277296696399E-2</v>
      </c>
      <c r="AN74" s="9">
        <f t="shared" si="14"/>
        <v>111317.33333333333</v>
      </c>
      <c r="AO74" s="8">
        <f t="shared" si="15"/>
        <v>-1.5457185394831874E-2</v>
      </c>
      <c r="AP74" s="8">
        <f t="shared" si="16"/>
        <v>-1.580603223522814E-2</v>
      </c>
      <c r="AT74">
        <v>37.06</v>
      </c>
      <c r="AU74">
        <v>40.72</v>
      </c>
      <c r="AV74">
        <v>52.82</v>
      </c>
    </row>
    <row r="75" spans="1:48" x14ac:dyDescent="0.2">
      <c r="A75" t="s">
        <v>144</v>
      </c>
      <c r="B75">
        <v>422014</v>
      </c>
      <c r="C75" s="1">
        <v>5629</v>
      </c>
      <c r="D75" s="1">
        <v>738345</v>
      </c>
      <c r="E75" s="2" t="s">
        <v>145</v>
      </c>
      <c r="G75" s="1">
        <v>1544898</v>
      </c>
      <c r="H75" s="1">
        <v>417932</v>
      </c>
      <c r="I75" s="1">
        <v>186590</v>
      </c>
      <c r="J75" s="1">
        <v>69574</v>
      </c>
      <c r="K75" s="1">
        <v>1267586</v>
      </c>
      <c r="L75" s="1">
        <v>368358</v>
      </c>
      <c r="M75" s="1">
        <v>191177</v>
      </c>
      <c r="N75" s="1">
        <v>65346</v>
      </c>
      <c r="O75" s="1">
        <v>1789457</v>
      </c>
      <c r="P75" s="1">
        <v>450104</v>
      </c>
      <c r="Q75" s="1">
        <v>59646</v>
      </c>
      <c r="R75" s="1">
        <v>23932</v>
      </c>
      <c r="S75" s="1">
        <v>1712676</v>
      </c>
      <c r="T75" s="1">
        <v>432172</v>
      </c>
      <c r="U75" s="1">
        <v>52915</v>
      </c>
      <c r="V75" s="1">
        <v>19373</v>
      </c>
      <c r="W75" s="1">
        <v>1663286</v>
      </c>
      <c r="X75" s="1">
        <v>418799</v>
      </c>
      <c r="Y75" s="1">
        <v>48387</v>
      </c>
      <c r="Z75" s="1">
        <v>15867</v>
      </c>
      <c r="AA75" s="1">
        <v>1544898</v>
      </c>
      <c r="AB75" s="1">
        <v>417932</v>
      </c>
      <c r="AC75" s="1">
        <v>49034</v>
      </c>
      <c r="AD75" s="1">
        <v>21018</v>
      </c>
      <c r="AE75" s="1">
        <v>1438156</v>
      </c>
      <c r="AF75" s="1">
        <v>404914</v>
      </c>
      <c r="AG75" s="1">
        <v>44981</v>
      </c>
      <c r="AH75" s="1">
        <v>16459</v>
      </c>
      <c r="AI75" s="1">
        <f t="shared" si="9"/>
        <v>80605.349344978167</v>
      </c>
      <c r="AJ75" s="1">
        <f t="shared" si="10"/>
        <v>80190</v>
      </c>
      <c r="AK75" s="8">
        <f t="shared" si="11"/>
        <v>-5.1528756881945581E-3</v>
      </c>
      <c r="AL75" s="9">
        <f t="shared" si="12"/>
        <v>214597.33333333334</v>
      </c>
      <c r="AM75" s="8">
        <f t="shared" si="13"/>
        <v>0.15010093431230698</v>
      </c>
      <c r="AN75" s="9">
        <f t="shared" si="14"/>
        <v>78896</v>
      </c>
      <c r="AO75" s="8">
        <f t="shared" si="15"/>
        <v>0.13398683416218704</v>
      </c>
      <c r="AP75" s="8">
        <f t="shared" si="16"/>
        <v>-2.1206400801793257E-2</v>
      </c>
      <c r="AT75">
        <v>12.89</v>
      </c>
      <c r="AU75">
        <v>67.510000000000005</v>
      </c>
      <c r="AV75">
        <v>41.21</v>
      </c>
    </row>
    <row r="76" spans="1:48" x14ac:dyDescent="0.2">
      <c r="A76" t="s">
        <v>568</v>
      </c>
      <c r="B76">
        <v>1083955</v>
      </c>
      <c r="C76" s="1">
        <v>50200</v>
      </c>
      <c r="D76" s="1">
        <v>2288814</v>
      </c>
      <c r="E76" s="2" t="s">
        <v>569</v>
      </c>
      <c r="G76" s="1">
        <v>224498.38</v>
      </c>
      <c r="H76" s="1">
        <v>174738.71</v>
      </c>
      <c r="I76" s="1">
        <v>168662.81</v>
      </c>
      <c r="J76" s="1">
        <v>50718.83</v>
      </c>
      <c r="K76" s="1">
        <v>171752.95999999999</v>
      </c>
      <c r="L76" s="1">
        <v>145014.72</v>
      </c>
      <c r="M76" s="1">
        <v>149113.23000000001</v>
      </c>
      <c r="N76" s="1">
        <v>44612.1</v>
      </c>
      <c r="O76" s="1">
        <v>248836.01</v>
      </c>
      <c r="P76" s="1">
        <v>216622.34</v>
      </c>
      <c r="Q76" s="1">
        <v>69690.48</v>
      </c>
      <c r="R76" s="1">
        <v>35423.79</v>
      </c>
      <c r="S76" s="1">
        <v>219200.23</v>
      </c>
      <c r="T76" s="1">
        <v>189014.09</v>
      </c>
      <c r="U76" s="1">
        <v>47666.59</v>
      </c>
      <c r="V76" s="1">
        <v>21705.56</v>
      </c>
      <c r="W76" s="1">
        <v>237171.22</v>
      </c>
      <c r="X76" s="1">
        <v>184293.82</v>
      </c>
      <c r="Y76" s="1">
        <v>51933.02</v>
      </c>
      <c r="Z76" s="1">
        <v>21010.42</v>
      </c>
      <c r="AA76" s="1">
        <v>224498.38</v>
      </c>
      <c r="AB76" s="1">
        <v>174738.71</v>
      </c>
      <c r="AC76" s="1">
        <v>93691.43</v>
      </c>
      <c r="AD76" s="1">
        <v>28464.84</v>
      </c>
      <c r="AI76" s="1">
        <f t="shared" si="9"/>
        <v>106605.21658127621</v>
      </c>
      <c r="AJ76" s="1">
        <f t="shared" si="10"/>
        <v>106604.61</v>
      </c>
      <c r="AK76" s="8">
        <f t="shared" si="11"/>
        <v>-5.6899774294461025E-6</v>
      </c>
      <c r="AL76" s="9">
        <f t="shared" si="12"/>
        <v>225720.11999999997</v>
      </c>
      <c r="AM76" s="8">
        <f t="shared" si="13"/>
        <v>0.33829218189830934</v>
      </c>
      <c r="AN76" s="9">
        <f t="shared" si="14"/>
        <v>104186.35999999999</v>
      </c>
      <c r="AO76" s="8">
        <f t="shared" si="15"/>
        <v>1.0541948621448873</v>
      </c>
      <c r="AP76" s="8">
        <f t="shared" si="16"/>
        <v>-2.2689851949525219E-2</v>
      </c>
      <c r="AT76">
        <v>20.43</v>
      </c>
      <c r="AU76">
        <v>192.66</v>
      </c>
      <c r="AV76">
        <v>1473.59</v>
      </c>
    </row>
    <row r="77" spans="1:48" x14ac:dyDescent="0.2">
      <c r="A77" t="s">
        <v>620</v>
      </c>
      <c r="B77">
        <v>1143619</v>
      </c>
      <c r="C77" s="1">
        <v>540.9</v>
      </c>
      <c r="D77" s="1">
        <v>948816</v>
      </c>
      <c r="E77" s="2" t="s">
        <v>338</v>
      </c>
      <c r="G77" s="1">
        <v>3031065</v>
      </c>
      <c r="H77" s="1">
        <v>798409</v>
      </c>
      <c r="I77" s="1">
        <v>182459</v>
      </c>
      <c r="J77" s="1">
        <v>64000</v>
      </c>
      <c r="K77" s="1">
        <v>2868985</v>
      </c>
      <c r="L77" s="1">
        <v>730612</v>
      </c>
      <c r="M77" s="1">
        <v>113406</v>
      </c>
      <c r="N77" s="1">
        <v>86970</v>
      </c>
      <c r="O77" s="1">
        <v>3267431</v>
      </c>
      <c r="P77" s="1">
        <v>930568</v>
      </c>
      <c r="Q77" s="1">
        <v>43618</v>
      </c>
      <c r="R77" s="1">
        <v>9144</v>
      </c>
      <c r="S77" s="1">
        <v>3221543</v>
      </c>
      <c r="T77" s="1">
        <v>920875</v>
      </c>
      <c r="U77" s="1">
        <v>37832</v>
      </c>
      <c r="V77" s="1">
        <v>28912</v>
      </c>
      <c r="W77" s="1">
        <v>3596186</v>
      </c>
      <c r="X77" s="1">
        <v>891340</v>
      </c>
      <c r="Y77" s="1">
        <v>56341</v>
      </c>
      <c r="Z77" s="1">
        <v>-11706</v>
      </c>
      <c r="AA77" s="1">
        <v>3031065</v>
      </c>
      <c r="AB77" s="1">
        <v>798409</v>
      </c>
      <c r="AC77" s="1">
        <v>34819</v>
      </c>
      <c r="AD77" s="1">
        <v>10791</v>
      </c>
      <c r="AE77" s="1">
        <v>3125630</v>
      </c>
      <c r="AF77" s="1">
        <v>786766</v>
      </c>
      <c r="AG77" s="1">
        <v>69634</v>
      </c>
      <c r="AH77" s="1">
        <v>73850</v>
      </c>
      <c r="AI77" s="1">
        <f t="shared" si="9"/>
        <v>36104.109589041094</v>
      </c>
      <c r="AJ77" s="1">
        <f t="shared" si="10"/>
        <v>37141</v>
      </c>
      <c r="AK77" s="8">
        <f t="shared" si="11"/>
        <v>2.8719456670208032E-2</v>
      </c>
      <c r="AL77" s="9">
        <f t="shared" si="12"/>
        <v>183721.33333333334</v>
      </c>
      <c r="AM77" s="8">
        <f t="shared" si="13"/>
        <v>6.9184492589202673E-3</v>
      </c>
      <c r="AN77" s="9">
        <f t="shared" si="14"/>
        <v>35133.333333333336</v>
      </c>
      <c r="AO77" s="8">
        <f t="shared" si="15"/>
        <v>-0.45104166666666667</v>
      </c>
      <c r="AP77" s="8">
        <f t="shared" si="16"/>
        <v>-2.6888248090251365E-2</v>
      </c>
      <c r="AT77">
        <v>14.32</v>
      </c>
      <c r="AU77">
        <v>78.930000000000007</v>
      </c>
      <c r="AV77">
        <v>24.41</v>
      </c>
    </row>
    <row r="78" spans="1:48" x14ac:dyDescent="0.2">
      <c r="A78" t="s">
        <v>226</v>
      </c>
      <c r="B78">
        <v>454017</v>
      </c>
      <c r="C78" s="1">
        <v>713.7</v>
      </c>
      <c r="D78" s="1">
        <v>325009</v>
      </c>
      <c r="E78" s="2" t="s">
        <v>227</v>
      </c>
      <c r="G78" s="1">
        <v>989667</v>
      </c>
      <c r="H78" s="1">
        <v>408779</v>
      </c>
      <c r="I78" s="1">
        <v>654138</v>
      </c>
      <c r="J78" s="1">
        <v>11234</v>
      </c>
      <c r="K78" s="1">
        <v>1000631</v>
      </c>
      <c r="L78" s="1">
        <v>398553</v>
      </c>
      <c r="M78" s="1">
        <v>633503</v>
      </c>
      <c r="N78" s="1">
        <v>-28606</v>
      </c>
      <c r="O78" s="1">
        <v>1069877</v>
      </c>
      <c r="P78" s="1">
        <v>435268</v>
      </c>
      <c r="Q78" s="1">
        <v>188661</v>
      </c>
      <c r="R78" s="1">
        <v>7545</v>
      </c>
      <c r="S78" s="1">
        <v>1071705</v>
      </c>
      <c r="T78" s="1">
        <v>426318</v>
      </c>
      <c r="U78" s="1">
        <v>168887</v>
      </c>
      <c r="V78" s="1">
        <v>7206</v>
      </c>
      <c r="W78" s="1">
        <v>1031560</v>
      </c>
      <c r="X78" s="1">
        <v>419112</v>
      </c>
      <c r="Y78" s="1">
        <v>182909</v>
      </c>
      <c r="Z78" s="1">
        <v>10333</v>
      </c>
      <c r="AA78" s="1">
        <v>989667</v>
      </c>
      <c r="AB78" s="1">
        <v>408779</v>
      </c>
      <c r="AC78" s="1">
        <v>189739</v>
      </c>
      <c r="AD78" s="1">
        <v>10812</v>
      </c>
      <c r="AE78" s="1">
        <v>980409</v>
      </c>
      <c r="AF78" s="1">
        <v>398973</v>
      </c>
      <c r="AG78" s="1">
        <v>185298</v>
      </c>
      <c r="AH78" s="1">
        <v>5235</v>
      </c>
      <c r="AI78" s="1">
        <f t="shared" si="9"/>
        <v>34502.016985138005</v>
      </c>
      <c r="AJ78" s="1">
        <f t="shared" si="10"/>
        <v>35896</v>
      </c>
      <c r="AK78" s="8">
        <f t="shared" si="11"/>
        <v>4.0402942687741028E-2</v>
      </c>
      <c r="AL78" s="9">
        <f t="shared" si="12"/>
        <v>720609.33333333337</v>
      </c>
      <c r="AM78" s="8">
        <f t="shared" si="13"/>
        <v>0.10161668231066434</v>
      </c>
      <c r="AN78" s="9">
        <f t="shared" si="14"/>
        <v>33445.333333333336</v>
      </c>
      <c r="AO78" s="8">
        <f t="shared" si="15"/>
        <v>1.977152691234942</v>
      </c>
      <c r="AP78" s="8">
        <f t="shared" si="16"/>
        <v>-3.0626721106184696E-2</v>
      </c>
      <c r="AT78">
        <v>1.08</v>
      </c>
      <c r="AU78">
        <v>98.61</v>
      </c>
      <c r="AV78">
        <v>26.65</v>
      </c>
    </row>
    <row r="79" spans="1:48" x14ac:dyDescent="0.2">
      <c r="A79" t="s">
        <v>592</v>
      </c>
      <c r="B79">
        <v>621011</v>
      </c>
      <c r="C79" s="1">
        <v>9145</v>
      </c>
      <c r="D79" s="1">
        <v>1150215</v>
      </c>
      <c r="E79" s="2" t="s">
        <v>593</v>
      </c>
      <c r="G79" s="1">
        <v>1252278</v>
      </c>
      <c r="H79" s="1">
        <v>700869</v>
      </c>
      <c r="I79" s="1">
        <v>858086</v>
      </c>
      <c r="J79" s="1">
        <v>77308</v>
      </c>
      <c r="K79" s="1">
        <v>1291669</v>
      </c>
      <c r="L79" s="1">
        <v>697895</v>
      </c>
      <c r="M79" s="1">
        <v>977439</v>
      </c>
      <c r="N79" s="1">
        <v>83170</v>
      </c>
      <c r="O79" s="1">
        <v>1264207</v>
      </c>
      <c r="P79" s="1">
        <v>737024</v>
      </c>
      <c r="Q79" s="1">
        <v>235038</v>
      </c>
      <c r="R79" s="1">
        <v>13856</v>
      </c>
      <c r="S79" s="1">
        <v>1274971</v>
      </c>
      <c r="T79" s="1">
        <v>723074</v>
      </c>
      <c r="U79" s="1">
        <v>215039</v>
      </c>
      <c r="V79" s="1">
        <v>8193</v>
      </c>
      <c r="W79" s="1">
        <v>1242307</v>
      </c>
      <c r="X79" s="1">
        <v>714787</v>
      </c>
      <c r="Y79" s="1">
        <v>188339</v>
      </c>
      <c r="Z79" s="1">
        <v>13824</v>
      </c>
      <c r="AA79" s="1">
        <v>1252278</v>
      </c>
      <c r="AB79" s="1">
        <v>700869</v>
      </c>
      <c r="AC79" s="1">
        <v>177810</v>
      </c>
      <c r="AD79" s="1">
        <v>13127</v>
      </c>
      <c r="AE79" s="1">
        <v>1350088</v>
      </c>
      <c r="AF79" s="1">
        <v>754358</v>
      </c>
      <c r="AG79" s="1">
        <v>258347</v>
      </c>
      <c r="AH79" s="1">
        <v>29971</v>
      </c>
      <c r="AI79" s="1">
        <f t="shared" si="9"/>
        <v>49471.612903225803</v>
      </c>
      <c r="AJ79" s="1">
        <f t="shared" si="10"/>
        <v>49000</v>
      </c>
      <c r="AK79" s="8">
        <f t="shared" si="11"/>
        <v>-9.5330003521080231E-3</v>
      </c>
      <c r="AL79" s="9">
        <f t="shared" si="12"/>
        <v>851221.33333333337</v>
      </c>
      <c r="AM79" s="8">
        <f t="shared" si="13"/>
        <v>-7.9999751384670637E-3</v>
      </c>
      <c r="AN79" s="9">
        <f t="shared" si="14"/>
        <v>47830.666666666664</v>
      </c>
      <c r="AO79" s="8">
        <f t="shared" si="15"/>
        <v>-0.38129732153636542</v>
      </c>
      <c r="AP79" s="8">
        <f t="shared" si="16"/>
        <v>-3.3169450928739352E-2</v>
      </c>
      <c r="AT79">
        <v>11.32</v>
      </c>
      <c r="AU79">
        <v>25.39</v>
      </c>
      <c r="AV79">
        <v>36.450000000000003</v>
      </c>
    </row>
    <row r="80" spans="1:48" x14ac:dyDescent="0.2">
      <c r="A80" t="s">
        <v>293</v>
      </c>
      <c r="B80">
        <v>371013</v>
      </c>
      <c r="C80" s="1">
        <v>4895</v>
      </c>
      <c r="D80" s="1">
        <v>651471</v>
      </c>
      <c r="E80" s="2" t="s">
        <v>294</v>
      </c>
      <c r="G80" s="1">
        <v>700771</v>
      </c>
      <c r="H80" s="1">
        <v>375641</v>
      </c>
      <c r="I80" s="1">
        <v>575795</v>
      </c>
      <c r="J80" s="1">
        <v>44107</v>
      </c>
      <c r="K80" s="1">
        <v>602645</v>
      </c>
      <c r="L80" s="1">
        <v>331594</v>
      </c>
      <c r="M80" s="1">
        <v>543262</v>
      </c>
      <c r="N80" s="1">
        <v>17973</v>
      </c>
      <c r="O80" s="1">
        <v>748794</v>
      </c>
      <c r="P80" s="1">
        <v>419235</v>
      </c>
      <c r="Q80" s="1">
        <v>152849</v>
      </c>
      <c r="R80" s="1">
        <v>11548</v>
      </c>
      <c r="S80" s="1">
        <v>739515</v>
      </c>
      <c r="T80" s="1">
        <v>407687</v>
      </c>
      <c r="U80" s="1">
        <v>160477</v>
      </c>
      <c r="V80" s="1">
        <v>20631</v>
      </c>
      <c r="W80" s="1">
        <v>726632</v>
      </c>
      <c r="X80" s="1">
        <v>387056</v>
      </c>
      <c r="Y80" s="1">
        <v>144843</v>
      </c>
      <c r="Z80" s="1">
        <v>11415</v>
      </c>
      <c r="AA80" s="1">
        <v>700771</v>
      </c>
      <c r="AB80" s="1">
        <v>375641</v>
      </c>
      <c r="AC80" s="1">
        <v>140302</v>
      </c>
      <c r="AD80" s="1">
        <v>16258</v>
      </c>
      <c r="AE80" s="1">
        <v>675635</v>
      </c>
      <c r="AF80" s="1">
        <v>359443</v>
      </c>
      <c r="AG80" s="1">
        <v>152799</v>
      </c>
      <c r="AH80" s="1">
        <v>12955</v>
      </c>
      <c r="AI80" s="1">
        <f t="shared" si="9"/>
        <v>60209.889094269871</v>
      </c>
      <c r="AJ80" s="1">
        <f t="shared" si="10"/>
        <v>59852</v>
      </c>
      <c r="AK80" s="8">
        <f t="shared" si="11"/>
        <v>-5.9440251369592412E-3</v>
      </c>
      <c r="AL80" s="9">
        <f t="shared" si="12"/>
        <v>610892</v>
      </c>
      <c r="AM80" s="8">
        <f t="shared" si="13"/>
        <v>6.0953985359372798E-2</v>
      </c>
      <c r="AN80" s="9">
        <f t="shared" si="14"/>
        <v>58125.333333333336</v>
      </c>
      <c r="AO80" s="8">
        <f t="shared" si="15"/>
        <v>0.31782559079813488</v>
      </c>
      <c r="AP80" s="8">
        <f t="shared" si="16"/>
        <v>-3.4621484814110426E-2</v>
      </c>
      <c r="AT80">
        <v>31.9</v>
      </c>
      <c r="AU80">
        <v>95.23</v>
      </c>
      <c r="AV80">
        <v>48.52</v>
      </c>
    </row>
    <row r="81" spans="1:48" x14ac:dyDescent="0.2">
      <c r="A81" t="s">
        <v>485</v>
      </c>
      <c r="B81">
        <v>1194000</v>
      </c>
      <c r="C81" s="1">
        <v>3061</v>
      </c>
      <c r="D81" s="1">
        <v>1617927</v>
      </c>
      <c r="E81" s="2" t="s">
        <v>486</v>
      </c>
      <c r="G81" s="1">
        <v>7096070.1600000001</v>
      </c>
      <c r="H81" s="1">
        <v>2993494.13</v>
      </c>
      <c r="I81" s="1">
        <v>920619.52000000002</v>
      </c>
      <c r="J81" s="1">
        <v>123640.6</v>
      </c>
      <c r="K81" s="1">
        <v>7260253.1399999997</v>
      </c>
      <c r="L81" s="1">
        <v>3190175.08</v>
      </c>
      <c r="M81" s="1">
        <v>910413.29</v>
      </c>
      <c r="N81" s="1">
        <v>345703.89</v>
      </c>
      <c r="O81" s="1">
        <v>6228318.8499999996</v>
      </c>
      <c r="P81" s="1">
        <v>2553904.83</v>
      </c>
      <c r="Q81" s="1">
        <v>260218.57</v>
      </c>
      <c r="R81" s="1">
        <v>118612.67</v>
      </c>
      <c r="S81" s="1">
        <v>6341993.4900000002</v>
      </c>
      <c r="T81" s="1">
        <v>2558032.9</v>
      </c>
      <c r="U81" s="1">
        <v>176166.77</v>
      </c>
      <c r="V81" s="1">
        <v>92109.55</v>
      </c>
      <c r="W81" s="1">
        <v>7050528.79</v>
      </c>
      <c r="X81" s="1">
        <v>2813722.86</v>
      </c>
      <c r="Y81" s="1">
        <v>208483.13</v>
      </c>
      <c r="Z81" s="1">
        <v>-158777.19</v>
      </c>
      <c r="AA81" s="1">
        <v>7096070.1600000001</v>
      </c>
      <c r="AB81" s="1">
        <v>2993494.13</v>
      </c>
      <c r="AC81" s="1">
        <v>211139.42</v>
      </c>
      <c r="AD81" s="1">
        <v>19905.330000000002</v>
      </c>
      <c r="AE81" s="1">
        <v>7106953.9800000004</v>
      </c>
      <c r="AF81" s="1">
        <v>3113394.93</v>
      </c>
      <c r="AG81" s="1">
        <v>221216.17</v>
      </c>
      <c r="AH81" s="1">
        <v>-1406.09</v>
      </c>
      <c r="AI81" s="1">
        <f t="shared" si="9"/>
        <v>71844.005328596802</v>
      </c>
      <c r="AJ81" s="1">
        <f t="shared" si="10"/>
        <v>71850.36</v>
      </c>
      <c r="AK81" s="8">
        <f t="shared" si="11"/>
        <v>8.8450962249853049E-5</v>
      </c>
      <c r="AL81" s="9">
        <f t="shared" si="12"/>
        <v>859824.62666666659</v>
      </c>
      <c r="AM81" s="8">
        <f t="shared" si="13"/>
        <v>-6.6036937097894044E-2</v>
      </c>
      <c r="AN81" s="9">
        <f t="shared" si="14"/>
        <v>69260.039999999994</v>
      </c>
      <c r="AO81" s="8">
        <f t="shared" si="15"/>
        <v>-0.43982769413930378</v>
      </c>
      <c r="AP81" s="8">
        <f t="shared" si="16"/>
        <v>-3.5966331731901446E-2</v>
      </c>
      <c r="AT81">
        <v>-5.96</v>
      </c>
      <c r="AU81">
        <v>6.73</v>
      </c>
      <c r="AV81">
        <v>0</v>
      </c>
    </row>
    <row r="82" spans="1:48" x14ac:dyDescent="0.2">
      <c r="A82" t="s">
        <v>282</v>
      </c>
      <c r="B82">
        <v>1184985</v>
      </c>
      <c r="C82" s="1">
        <v>1858</v>
      </c>
      <c r="D82" s="1">
        <v>879510</v>
      </c>
      <c r="E82" s="2" t="s">
        <v>283</v>
      </c>
      <c r="G82" s="1">
        <v>638206.78</v>
      </c>
      <c r="H82" s="1">
        <v>332894.52</v>
      </c>
      <c r="I82" s="1">
        <v>998326.15</v>
      </c>
      <c r="J82" s="1">
        <v>57764.83</v>
      </c>
      <c r="K82" s="1">
        <v>627648.74</v>
      </c>
      <c r="L82" s="1">
        <v>288328.37</v>
      </c>
      <c r="M82" s="1">
        <v>1035751.54</v>
      </c>
      <c r="N82" s="1">
        <v>51891.49</v>
      </c>
      <c r="O82" s="1">
        <v>547242.18000000005</v>
      </c>
      <c r="P82" s="1">
        <v>323601.2</v>
      </c>
      <c r="Q82" s="1">
        <v>219095.23</v>
      </c>
      <c r="R82" s="1">
        <v>10757.72</v>
      </c>
      <c r="S82" s="1">
        <v>572268.86</v>
      </c>
      <c r="T82" s="1">
        <v>322750.98</v>
      </c>
      <c r="U82" s="1">
        <v>211856.01</v>
      </c>
      <c r="V82" s="1">
        <v>10085.65</v>
      </c>
      <c r="W82" s="1">
        <v>668916.52</v>
      </c>
      <c r="X82" s="1">
        <v>350644.57</v>
      </c>
      <c r="Y82" s="1">
        <v>299083.34999999998</v>
      </c>
      <c r="Z82" s="1">
        <v>17366.78</v>
      </c>
      <c r="AA82" s="1">
        <v>638206.78</v>
      </c>
      <c r="AB82" s="1">
        <v>332894.52</v>
      </c>
      <c r="AC82" s="1">
        <v>235085.62</v>
      </c>
      <c r="AD82" s="1">
        <v>14905.29</v>
      </c>
      <c r="AE82" s="1">
        <v>655813</v>
      </c>
      <c r="AF82" s="1">
        <v>326498.55</v>
      </c>
      <c r="AG82" s="1">
        <v>231418.67</v>
      </c>
      <c r="AH82" s="1">
        <v>14261.24</v>
      </c>
      <c r="AI82" s="1">
        <f t="shared" si="9"/>
        <v>53110.507246376816</v>
      </c>
      <c r="AJ82" s="1">
        <f t="shared" si="10"/>
        <v>53115.439999999995</v>
      </c>
      <c r="AK82" s="8">
        <f t="shared" si="11"/>
        <v>9.287717024242248E-5</v>
      </c>
      <c r="AL82" s="9">
        <f t="shared" si="12"/>
        <v>973379.45333333325</v>
      </c>
      <c r="AM82" s="8">
        <f t="shared" si="13"/>
        <v>-2.4988523707073829E-2</v>
      </c>
      <c r="AN82" s="9">
        <f t="shared" si="14"/>
        <v>50946.866666666669</v>
      </c>
      <c r="AO82" s="8">
        <f t="shared" si="15"/>
        <v>-0.11802966153165051</v>
      </c>
      <c r="AP82" s="8">
        <f t="shared" si="16"/>
        <v>-4.0738465736603335E-2</v>
      </c>
      <c r="AT82">
        <v>7.98</v>
      </c>
      <c r="AU82">
        <v>13.78</v>
      </c>
      <c r="AV82">
        <v>8.51</v>
      </c>
    </row>
    <row r="83" spans="1:48" x14ac:dyDescent="0.2">
      <c r="A83" t="s">
        <v>564</v>
      </c>
      <c r="B83">
        <v>425017</v>
      </c>
      <c r="C83" s="1">
        <v>4600</v>
      </c>
      <c r="D83" s="1">
        <v>853538</v>
      </c>
      <c r="E83" s="2" t="s">
        <v>565</v>
      </c>
      <c r="G83" s="1">
        <v>1379921</v>
      </c>
      <c r="H83" s="1">
        <v>524642</v>
      </c>
      <c r="I83" s="1">
        <v>482295</v>
      </c>
      <c r="J83" s="1">
        <v>51535</v>
      </c>
      <c r="K83" s="1">
        <v>1322056</v>
      </c>
      <c r="L83" s="1">
        <v>501419</v>
      </c>
      <c r="M83" s="1">
        <v>297070</v>
      </c>
      <c r="N83" s="1">
        <v>33068</v>
      </c>
      <c r="O83" s="1">
        <v>1433773</v>
      </c>
      <c r="P83" s="1">
        <v>587313</v>
      </c>
      <c r="Q83" s="1">
        <v>141873</v>
      </c>
      <c r="R83" s="1">
        <v>12096</v>
      </c>
      <c r="S83" s="1">
        <v>1395244</v>
      </c>
      <c r="T83" s="1">
        <v>533711</v>
      </c>
      <c r="U83" s="1">
        <v>85426</v>
      </c>
      <c r="V83" s="1">
        <v>1538</v>
      </c>
      <c r="W83" s="1">
        <v>1408704</v>
      </c>
      <c r="X83" s="1">
        <v>532173</v>
      </c>
      <c r="Y83" s="1">
        <v>106551</v>
      </c>
      <c r="Z83" s="1">
        <v>7531</v>
      </c>
      <c r="AA83" s="1">
        <v>1379921</v>
      </c>
      <c r="AB83" s="1">
        <v>524642</v>
      </c>
      <c r="AC83" s="1">
        <v>112362</v>
      </c>
      <c r="AD83" s="1">
        <v>8329</v>
      </c>
      <c r="AE83" s="1">
        <v>1363659</v>
      </c>
      <c r="AF83" s="1">
        <v>516242</v>
      </c>
      <c r="AG83" s="1">
        <v>117617</v>
      </c>
      <c r="AH83" s="1">
        <v>11072</v>
      </c>
      <c r="AI83" s="1">
        <f t="shared" si="9"/>
        <v>29493.365583966828</v>
      </c>
      <c r="AJ83" s="1">
        <f t="shared" si="10"/>
        <v>29494</v>
      </c>
      <c r="AK83" s="8">
        <f t="shared" si="11"/>
        <v>2.1510465849194915E-5</v>
      </c>
      <c r="AL83" s="9">
        <f t="shared" si="12"/>
        <v>445133.33333333331</v>
      </c>
      <c r="AM83" s="8">
        <f t="shared" si="13"/>
        <v>-7.7051735279583422E-2</v>
      </c>
      <c r="AN83" s="9">
        <f t="shared" si="14"/>
        <v>28220</v>
      </c>
      <c r="AO83" s="8">
        <f t="shared" si="15"/>
        <v>-0.45241098282720482</v>
      </c>
      <c r="AP83" s="8">
        <f t="shared" si="16"/>
        <v>-4.3174644831278752E-2</v>
      </c>
      <c r="AT83">
        <v>3.35</v>
      </c>
      <c r="AU83">
        <v>15.59</v>
      </c>
      <c r="AV83">
        <v>88.79</v>
      </c>
    </row>
    <row r="84" spans="1:48" x14ac:dyDescent="0.2">
      <c r="A84" t="s">
        <v>224</v>
      </c>
      <c r="B84">
        <v>1104744</v>
      </c>
      <c r="C84" s="1">
        <v>4500</v>
      </c>
      <c r="D84" s="1">
        <v>122369</v>
      </c>
      <c r="E84" s="2" t="s">
        <v>225</v>
      </c>
      <c r="G84" s="1">
        <v>1013701</v>
      </c>
      <c r="H84" s="1">
        <v>236123</v>
      </c>
      <c r="I84" s="1">
        <v>654138</v>
      </c>
      <c r="J84" s="1">
        <v>737</v>
      </c>
      <c r="K84" s="1">
        <v>1019478</v>
      </c>
      <c r="L84" s="1">
        <v>236074</v>
      </c>
      <c r="M84" s="1">
        <v>633503</v>
      </c>
      <c r="N84" s="1">
        <v>-25247</v>
      </c>
      <c r="O84" s="1">
        <v>1092532</v>
      </c>
      <c r="P84" s="1">
        <v>251392</v>
      </c>
      <c r="Q84" s="1">
        <v>188661</v>
      </c>
      <c r="R84" s="1">
        <v>3109</v>
      </c>
      <c r="S84" s="1">
        <v>1095607</v>
      </c>
      <c r="T84" s="1">
        <v>247204</v>
      </c>
      <c r="U84" s="1">
        <v>168887</v>
      </c>
      <c r="V84" s="1">
        <v>5540</v>
      </c>
      <c r="W84" s="1">
        <v>1055777</v>
      </c>
      <c r="X84" s="1">
        <v>241582</v>
      </c>
      <c r="Y84" s="1">
        <v>182909</v>
      </c>
      <c r="Z84" s="1">
        <v>5459</v>
      </c>
      <c r="AA84" s="1">
        <v>1013701</v>
      </c>
      <c r="AB84" s="1">
        <v>236123</v>
      </c>
      <c r="AC84" s="1">
        <v>189739</v>
      </c>
      <c r="AD84" s="1">
        <v>6086</v>
      </c>
      <c r="AE84" s="1">
        <v>1007122</v>
      </c>
      <c r="AF84" s="1">
        <v>230724</v>
      </c>
      <c r="AG84" s="1">
        <v>185298</v>
      </c>
      <c r="AH84" s="1">
        <v>1766</v>
      </c>
      <c r="AI84" s="1">
        <f t="shared" si="9"/>
        <v>19768.82067851373</v>
      </c>
      <c r="AJ84" s="1">
        <f t="shared" si="10"/>
        <v>20194</v>
      </c>
      <c r="AK84" s="8">
        <f t="shared" si="11"/>
        <v>2.1507571362028077E-2</v>
      </c>
      <c r="AL84" s="9">
        <f t="shared" si="12"/>
        <v>720609.33333333337</v>
      </c>
      <c r="AM84" s="8">
        <f t="shared" si="13"/>
        <v>0.10161668231066434</v>
      </c>
      <c r="AN84" s="9">
        <f t="shared" si="14"/>
        <v>18810.666666666668</v>
      </c>
      <c r="AO84" s="8">
        <f t="shared" si="15"/>
        <v>24.523292627770243</v>
      </c>
      <c r="AP84" s="8">
        <f t="shared" si="16"/>
        <v>-4.846793986494391E-2</v>
      </c>
      <c r="AT84">
        <v>-3.91</v>
      </c>
      <c r="AU84">
        <v>91.91</v>
      </c>
      <c r="AV84">
        <v>-12.68</v>
      </c>
    </row>
    <row r="85" spans="1:48" x14ac:dyDescent="0.2">
      <c r="A85" t="s">
        <v>63</v>
      </c>
      <c r="B85">
        <v>265017</v>
      </c>
      <c r="C85" s="1">
        <v>4126</v>
      </c>
      <c r="D85" s="1">
        <v>1048163</v>
      </c>
      <c r="E85" s="2" t="s">
        <v>64</v>
      </c>
      <c r="G85" s="1">
        <v>435211.11</v>
      </c>
      <c r="H85" s="1">
        <v>287474.78000000003</v>
      </c>
      <c r="I85" s="1">
        <v>255468.71</v>
      </c>
      <c r="J85" s="1">
        <v>42841.31</v>
      </c>
      <c r="K85" s="1">
        <v>436603.76</v>
      </c>
      <c r="L85" s="1">
        <v>290207.15999999997</v>
      </c>
      <c r="M85" s="1">
        <v>228540.9</v>
      </c>
      <c r="N85" s="1">
        <v>35921.81</v>
      </c>
      <c r="O85" s="1">
        <v>445116.53</v>
      </c>
      <c r="P85" s="1">
        <v>293166.15999999997</v>
      </c>
      <c r="Q85" s="1">
        <v>72014.600000000006</v>
      </c>
      <c r="R85" s="1">
        <v>11213.95</v>
      </c>
      <c r="S85" s="1">
        <v>434482.2</v>
      </c>
      <c r="T85" s="1">
        <v>287560.78999999998</v>
      </c>
      <c r="U85" s="1">
        <v>66010.27</v>
      </c>
      <c r="V85" s="1">
        <v>9107.77</v>
      </c>
      <c r="W85" s="1">
        <v>475368.6</v>
      </c>
      <c r="X85" s="1">
        <v>306073.19</v>
      </c>
      <c r="Y85" s="1">
        <v>68255.039999999994</v>
      </c>
      <c r="Z85" s="1">
        <v>12113.24</v>
      </c>
      <c r="AA85" s="1">
        <v>435211.11</v>
      </c>
      <c r="AB85" s="1">
        <v>287474.78000000003</v>
      </c>
      <c r="AC85" s="1">
        <v>73629.279999999999</v>
      </c>
      <c r="AD85" s="1">
        <v>13121.91</v>
      </c>
      <c r="AE85" s="1">
        <v>463293.67</v>
      </c>
      <c r="AF85" s="1">
        <v>329722.53999999998</v>
      </c>
      <c r="AG85" s="1">
        <v>67800.25</v>
      </c>
      <c r="AH85" s="1">
        <v>10822.07</v>
      </c>
      <c r="AI85" s="1">
        <f t="shared" si="9"/>
        <v>45552.498913515861</v>
      </c>
      <c r="AJ85" s="1">
        <f t="shared" si="10"/>
        <v>45556.869999999995</v>
      </c>
      <c r="AK85" s="8">
        <f t="shared" si="11"/>
        <v>9.5957117356659793E-5</v>
      </c>
      <c r="AL85" s="9">
        <f t="shared" si="12"/>
        <v>275039.88</v>
      </c>
      <c r="AM85" s="8">
        <f t="shared" si="13"/>
        <v>7.660887315710796E-2</v>
      </c>
      <c r="AN85" s="9">
        <f t="shared" si="14"/>
        <v>43246.613333333335</v>
      </c>
      <c r="AO85" s="8">
        <f t="shared" si="15"/>
        <v>9.4605728287331381E-3</v>
      </c>
      <c r="AP85" s="8">
        <f t="shared" si="16"/>
        <v>-5.0620397018402596E-2</v>
      </c>
      <c r="AT85">
        <v>0.27</v>
      </c>
      <c r="AU85">
        <v>59.31</v>
      </c>
      <c r="AV85">
        <v>145.13</v>
      </c>
    </row>
    <row r="86" spans="1:48" x14ac:dyDescent="0.2">
      <c r="A86" t="s">
        <v>448</v>
      </c>
      <c r="B86">
        <v>338012</v>
      </c>
      <c r="C86" s="1">
        <v>3131</v>
      </c>
      <c r="D86" s="1">
        <v>411228</v>
      </c>
      <c r="E86" s="2" t="s">
        <v>449</v>
      </c>
      <c r="G86" s="1">
        <v>523769</v>
      </c>
      <c r="H86" s="1">
        <v>121188</v>
      </c>
      <c r="I86" s="1">
        <v>663696</v>
      </c>
      <c r="J86" s="1">
        <v>34433</v>
      </c>
      <c r="K86" s="1">
        <v>473885</v>
      </c>
      <c r="L86" s="1">
        <v>94396</v>
      </c>
      <c r="M86" s="1">
        <v>646147</v>
      </c>
      <c r="N86" s="1">
        <v>16283</v>
      </c>
      <c r="O86" s="1">
        <v>506040</v>
      </c>
      <c r="P86" s="1">
        <v>147463</v>
      </c>
      <c r="Q86" s="1">
        <v>180489</v>
      </c>
      <c r="R86" s="1">
        <v>13335</v>
      </c>
      <c r="S86" s="1">
        <v>508760</v>
      </c>
      <c r="T86" s="1">
        <v>135984</v>
      </c>
      <c r="U86" s="1">
        <v>150266</v>
      </c>
      <c r="V86" s="1">
        <v>7660</v>
      </c>
      <c r="W86" s="1">
        <v>528277</v>
      </c>
      <c r="X86" s="1">
        <v>128972</v>
      </c>
      <c r="Y86" s="1">
        <v>153732</v>
      </c>
      <c r="Z86" s="1">
        <v>6058</v>
      </c>
      <c r="AA86" s="1">
        <v>523769</v>
      </c>
      <c r="AB86" s="1">
        <v>121188</v>
      </c>
      <c r="AC86" s="1">
        <v>169005</v>
      </c>
      <c r="AD86" s="1">
        <v>11059</v>
      </c>
      <c r="AE86" s="1">
        <v>517941</v>
      </c>
      <c r="AF86" s="1">
        <v>112413</v>
      </c>
      <c r="AG86" s="1">
        <v>174506</v>
      </c>
      <c r="AH86" s="1">
        <v>11695</v>
      </c>
      <c r="AI86" s="1">
        <f t="shared" si="9"/>
        <v>38111.955514365152</v>
      </c>
      <c r="AJ86" s="1">
        <f t="shared" si="10"/>
        <v>38112</v>
      </c>
      <c r="AK86" s="8">
        <f t="shared" si="11"/>
        <v>1.1672356940994888E-6</v>
      </c>
      <c r="AL86" s="9">
        <f t="shared" si="12"/>
        <v>645982.66666666663</v>
      </c>
      <c r="AM86" s="8">
        <f t="shared" si="13"/>
        <v>-2.6688925853603718E-2</v>
      </c>
      <c r="AN86" s="9">
        <f t="shared" si="14"/>
        <v>36070.666666666664</v>
      </c>
      <c r="AO86" s="8">
        <f t="shared" si="15"/>
        <v>4.7560963804102574E-2</v>
      </c>
      <c r="AP86" s="8">
        <f t="shared" si="16"/>
        <v>-5.3560328252615808E-2</v>
      </c>
      <c r="AT86">
        <v>-16.21</v>
      </c>
      <c r="AU86">
        <v>30.49</v>
      </c>
      <c r="AV86">
        <v>348.07</v>
      </c>
    </row>
    <row r="87" spans="1:48" x14ac:dyDescent="0.2">
      <c r="A87" t="s">
        <v>156</v>
      </c>
      <c r="B87">
        <v>578013</v>
      </c>
      <c r="C87" s="1">
        <v>28910</v>
      </c>
      <c r="D87" s="1">
        <v>1534356</v>
      </c>
      <c r="E87" s="2" t="s">
        <v>157</v>
      </c>
      <c r="G87" s="1">
        <v>1948282</v>
      </c>
      <c r="H87" s="1">
        <v>529424</v>
      </c>
      <c r="I87" s="1">
        <v>1783953</v>
      </c>
      <c r="J87" s="1">
        <v>59798</v>
      </c>
      <c r="K87" s="1">
        <v>1863569</v>
      </c>
      <c r="L87" s="1">
        <v>450869</v>
      </c>
      <c r="M87" s="1">
        <v>2154709</v>
      </c>
      <c r="N87" s="1">
        <v>-8563</v>
      </c>
      <c r="O87" s="1">
        <v>2009876</v>
      </c>
      <c r="P87" s="1">
        <v>568149</v>
      </c>
      <c r="Q87" s="1">
        <v>448634</v>
      </c>
      <c r="R87" s="1">
        <v>23286</v>
      </c>
      <c r="S87" s="1">
        <v>1953088</v>
      </c>
      <c r="T87" s="1">
        <v>539427</v>
      </c>
      <c r="U87" s="1">
        <v>392291</v>
      </c>
      <c r="V87" s="1">
        <v>16984</v>
      </c>
      <c r="W87" s="1">
        <v>2026100</v>
      </c>
      <c r="X87" s="1">
        <v>546826</v>
      </c>
      <c r="Y87" s="1">
        <v>415397</v>
      </c>
      <c r="Z87" s="1">
        <v>12222</v>
      </c>
      <c r="AA87" s="1">
        <v>1948282</v>
      </c>
      <c r="AB87" s="1">
        <v>529424</v>
      </c>
      <c r="AC87" s="1">
        <v>439969</v>
      </c>
      <c r="AD87" s="1">
        <v>22958</v>
      </c>
      <c r="AE87" s="1">
        <v>1833284</v>
      </c>
      <c r="AF87" s="1">
        <v>487508</v>
      </c>
      <c r="AG87" s="1">
        <v>458040</v>
      </c>
      <c r="AH87" s="1">
        <v>14144</v>
      </c>
      <c r="AI87" s="1">
        <f t="shared" si="9"/>
        <v>74123.478260869568</v>
      </c>
      <c r="AJ87" s="1">
        <f t="shared" si="10"/>
        <v>75450</v>
      </c>
      <c r="AK87" s="8">
        <f t="shared" si="11"/>
        <v>1.7896107552614948E-2</v>
      </c>
      <c r="AL87" s="9">
        <f t="shared" si="12"/>
        <v>1675096</v>
      </c>
      <c r="AM87" s="8">
        <f t="shared" si="13"/>
        <v>-6.1020105350309106E-2</v>
      </c>
      <c r="AN87" s="9">
        <f t="shared" si="14"/>
        <v>69989.333333333328</v>
      </c>
      <c r="AO87" s="8">
        <f t="shared" si="15"/>
        <v>0.17042933431441409</v>
      </c>
      <c r="AP87" s="8">
        <f t="shared" si="16"/>
        <v>-5.5773757850199113E-2</v>
      </c>
      <c r="AT87">
        <v>40.799999999999997</v>
      </c>
      <c r="AU87">
        <v>145.5</v>
      </c>
      <c r="AV87">
        <v>101.69</v>
      </c>
    </row>
    <row r="88" spans="1:48" x14ac:dyDescent="0.2">
      <c r="A88" t="s">
        <v>263</v>
      </c>
      <c r="B88">
        <v>1093202</v>
      </c>
      <c r="C88" s="1">
        <v>15200</v>
      </c>
      <c r="D88" s="1">
        <v>2405654</v>
      </c>
      <c r="E88" s="2" t="s">
        <v>264</v>
      </c>
      <c r="G88" s="1">
        <v>6178997</v>
      </c>
      <c r="H88" s="1">
        <v>1452288</v>
      </c>
      <c r="I88" s="1">
        <v>6760063</v>
      </c>
      <c r="J88" s="1">
        <v>127838</v>
      </c>
      <c r="K88" s="1">
        <v>5870124</v>
      </c>
      <c r="L88" s="1">
        <v>1322287</v>
      </c>
      <c r="M88" s="1">
        <v>7444596</v>
      </c>
      <c r="N88" s="1">
        <v>66436</v>
      </c>
      <c r="O88" s="1">
        <v>7179684</v>
      </c>
      <c r="P88" s="1">
        <v>1522592</v>
      </c>
      <c r="Q88" s="1">
        <v>1727366</v>
      </c>
      <c r="R88" s="1">
        <v>38263</v>
      </c>
      <c r="S88" s="1">
        <v>6926468</v>
      </c>
      <c r="T88" s="1">
        <v>1584329</v>
      </c>
      <c r="U88" s="1">
        <v>1505230</v>
      </c>
      <c r="V88" s="1">
        <v>112349</v>
      </c>
      <c r="W88" s="1">
        <v>6391957</v>
      </c>
      <c r="X88" s="1">
        <v>1471980</v>
      </c>
      <c r="Y88" s="1">
        <v>1533233</v>
      </c>
      <c r="Z88" s="1">
        <v>19692</v>
      </c>
      <c r="AA88" s="1">
        <v>6178997</v>
      </c>
      <c r="AB88" s="1">
        <v>1452288</v>
      </c>
      <c r="AC88" s="1">
        <v>1530920</v>
      </c>
      <c r="AD88" s="1">
        <v>67801</v>
      </c>
      <c r="AE88" s="1">
        <v>6065671</v>
      </c>
      <c r="AF88" s="1">
        <v>1382324</v>
      </c>
      <c r="AG88" s="1">
        <v>1817743</v>
      </c>
      <c r="AH88" s="1">
        <v>41392</v>
      </c>
      <c r="AI88" s="1">
        <f t="shared" si="9"/>
        <v>241047.49498997995</v>
      </c>
      <c r="AJ88" s="1">
        <f t="shared" si="10"/>
        <v>238105</v>
      </c>
      <c r="AK88" s="8">
        <f t="shared" si="11"/>
        <v>-1.2207117066710294E-2</v>
      </c>
      <c r="AL88" s="9">
        <f t="shared" si="12"/>
        <v>6354438.666666667</v>
      </c>
      <c r="AM88" s="8">
        <f t="shared" si="13"/>
        <v>-6.0003040405589902E-2</v>
      </c>
      <c r="AN88" s="9">
        <f t="shared" si="14"/>
        <v>227072</v>
      </c>
      <c r="AO88" s="8">
        <f t="shared" si="15"/>
        <v>0.77624806395594415</v>
      </c>
      <c r="AP88" s="8">
        <f t="shared" si="16"/>
        <v>-5.7978179738233271E-2</v>
      </c>
      <c r="AT88">
        <v>15.14</v>
      </c>
      <c r="AU88">
        <v>74.97</v>
      </c>
      <c r="AV88">
        <v>41.66</v>
      </c>
    </row>
    <row r="89" spans="1:48" x14ac:dyDescent="0.2">
      <c r="A89" t="s">
        <v>466</v>
      </c>
      <c r="B89">
        <v>1082353</v>
      </c>
      <c r="C89" s="1">
        <v>162.1</v>
      </c>
      <c r="D89" s="1">
        <v>355784</v>
      </c>
      <c r="E89" s="2" t="s">
        <v>467</v>
      </c>
      <c r="G89" s="1">
        <v>489680</v>
      </c>
      <c r="H89" s="1">
        <v>256185</v>
      </c>
      <c r="I89" s="1">
        <v>1057419</v>
      </c>
      <c r="J89" s="1">
        <v>48003</v>
      </c>
      <c r="K89" s="1">
        <v>439610</v>
      </c>
      <c r="L89" s="1">
        <v>227269</v>
      </c>
      <c r="M89" s="1">
        <v>853701</v>
      </c>
      <c r="N89" s="1">
        <v>22336</v>
      </c>
      <c r="O89" s="1">
        <v>486881</v>
      </c>
      <c r="P89" s="1">
        <v>258237</v>
      </c>
      <c r="Q89" s="1">
        <v>249826</v>
      </c>
      <c r="R89" s="1">
        <v>8051</v>
      </c>
      <c r="S89" s="1">
        <v>479908</v>
      </c>
      <c r="T89" s="1">
        <v>254398</v>
      </c>
      <c r="U89" s="1">
        <v>228732</v>
      </c>
      <c r="V89" s="1">
        <v>8257</v>
      </c>
      <c r="W89" s="1">
        <v>540301</v>
      </c>
      <c r="X89" s="1">
        <v>256107</v>
      </c>
      <c r="Y89" s="1">
        <v>282277</v>
      </c>
      <c r="Z89" s="1">
        <v>11857</v>
      </c>
      <c r="AA89" s="1">
        <v>489680</v>
      </c>
      <c r="AB89" s="1">
        <v>256185</v>
      </c>
      <c r="AC89" s="1">
        <v>226247</v>
      </c>
      <c r="AD89" s="1">
        <v>11866</v>
      </c>
      <c r="AE89" s="1">
        <v>491111</v>
      </c>
      <c r="AF89" s="1">
        <v>253769</v>
      </c>
      <c r="AG89" s="1">
        <v>256998</v>
      </c>
      <c r="AH89" s="1">
        <v>8790</v>
      </c>
      <c r="AI89" s="1">
        <f t="shared" si="9"/>
        <v>40020.697412823392</v>
      </c>
      <c r="AJ89" s="1">
        <f t="shared" si="10"/>
        <v>40031</v>
      </c>
      <c r="AK89" s="8">
        <f t="shared" si="11"/>
        <v>2.5743147527723664E-4</v>
      </c>
      <c r="AL89" s="9">
        <f t="shared" si="12"/>
        <v>1014446.6666666666</v>
      </c>
      <c r="AM89" s="8">
        <f t="shared" si="13"/>
        <v>-4.0638888967697184E-2</v>
      </c>
      <c r="AN89" s="9">
        <f t="shared" si="14"/>
        <v>37553.333333333336</v>
      </c>
      <c r="AO89" s="8">
        <f t="shared" si="15"/>
        <v>-0.21768778340242623</v>
      </c>
      <c r="AP89" s="8">
        <f t="shared" si="16"/>
        <v>-6.165220096088242E-2</v>
      </c>
      <c r="AT89">
        <v>11.28</v>
      </c>
      <c r="AU89">
        <v>56.16</v>
      </c>
      <c r="AV89">
        <v>59.93</v>
      </c>
    </row>
    <row r="90" spans="1:48" x14ac:dyDescent="0.2">
      <c r="A90" t="s">
        <v>218</v>
      </c>
      <c r="B90">
        <v>286013</v>
      </c>
      <c r="C90" s="1">
        <v>2136</v>
      </c>
      <c r="D90" s="1">
        <v>512484</v>
      </c>
      <c r="E90" s="2" t="s">
        <v>219</v>
      </c>
      <c r="G90" s="1">
        <v>784186</v>
      </c>
      <c r="H90" s="1">
        <v>264292</v>
      </c>
      <c r="I90" s="1">
        <v>656283</v>
      </c>
      <c r="J90" s="1">
        <v>41924</v>
      </c>
      <c r="K90" s="1">
        <v>729740</v>
      </c>
      <c r="L90" s="1">
        <v>208753</v>
      </c>
      <c r="M90" s="1">
        <v>680703</v>
      </c>
      <c r="N90" s="1">
        <v>42797</v>
      </c>
      <c r="O90" s="1">
        <v>908608</v>
      </c>
      <c r="P90" s="1">
        <v>266445</v>
      </c>
      <c r="Q90" s="1">
        <v>202114</v>
      </c>
      <c r="R90" s="1">
        <v>8147</v>
      </c>
      <c r="S90" s="1">
        <v>866985</v>
      </c>
      <c r="T90" s="1">
        <v>258936</v>
      </c>
      <c r="U90" s="1">
        <v>182860</v>
      </c>
      <c r="V90" s="1">
        <v>1340</v>
      </c>
      <c r="W90" s="1">
        <v>827892</v>
      </c>
      <c r="X90" s="1">
        <v>257294</v>
      </c>
      <c r="Y90" s="1">
        <v>164900</v>
      </c>
      <c r="Z90" s="1">
        <v>8230</v>
      </c>
      <c r="AA90" s="1">
        <v>784186</v>
      </c>
      <c r="AB90" s="1">
        <v>264292</v>
      </c>
      <c r="AC90" s="1">
        <v>161801</v>
      </c>
      <c r="AD90" s="1">
        <v>7679</v>
      </c>
      <c r="AE90" s="1">
        <v>802945</v>
      </c>
      <c r="AF90" s="1">
        <v>278273</v>
      </c>
      <c r="AG90" s="1">
        <v>157484</v>
      </c>
      <c r="AH90" s="1">
        <v>4890</v>
      </c>
      <c r="AI90" s="1">
        <f t="shared" si="9"/>
        <v>25395.639246778988</v>
      </c>
      <c r="AJ90" s="1">
        <f t="shared" si="10"/>
        <v>25396</v>
      </c>
      <c r="AK90" s="8">
        <f t="shared" si="11"/>
        <v>1.4205321531957082E-5</v>
      </c>
      <c r="AL90" s="9">
        <f t="shared" si="12"/>
        <v>733165.33333333337</v>
      </c>
      <c r="AM90" s="8">
        <f t="shared" si="13"/>
        <v>0.117148140868091</v>
      </c>
      <c r="AN90" s="9">
        <f t="shared" si="14"/>
        <v>23622.666666666668</v>
      </c>
      <c r="AO90" s="8">
        <f t="shared" si="15"/>
        <v>-0.4365359539484146</v>
      </c>
      <c r="AP90" s="8">
        <f t="shared" si="16"/>
        <v>-6.9814055983536294E-2</v>
      </c>
      <c r="AT90">
        <v>43.44</v>
      </c>
      <c r="AU90">
        <v>57.17</v>
      </c>
      <c r="AV90">
        <v>138.79</v>
      </c>
    </row>
    <row r="91" spans="1:48" x14ac:dyDescent="0.2">
      <c r="A91" t="s">
        <v>376</v>
      </c>
      <c r="B91">
        <v>1081439</v>
      </c>
      <c r="C91" s="1">
        <v>1450</v>
      </c>
      <c r="D91" s="1">
        <v>167108</v>
      </c>
      <c r="E91" s="2" t="s">
        <v>377</v>
      </c>
      <c r="G91" s="1">
        <v>487357</v>
      </c>
      <c r="H91" s="1">
        <v>128327</v>
      </c>
      <c r="I91" s="1">
        <v>446783</v>
      </c>
      <c r="J91" s="1">
        <v>27496</v>
      </c>
      <c r="K91" s="1">
        <v>433652</v>
      </c>
      <c r="L91" s="1">
        <v>128719</v>
      </c>
      <c r="M91" s="1">
        <v>625485</v>
      </c>
      <c r="N91" s="1">
        <v>27476</v>
      </c>
      <c r="O91" s="1">
        <v>269200</v>
      </c>
      <c r="P91" s="1">
        <v>77483</v>
      </c>
      <c r="Q91" s="1">
        <v>329281</v>
      </c>
      <c r="R91" s="1">
        <v>10221</v>
      </c>
      <c r="S91" s="1">
        <v>493980</v>
      </c>
      <c r="T91" s="1">
        <v>138333</v>
      </c>
      <c r="U91" s="1">
        <v>113616</v>
      </c>
      <c r="V91" s="1">
        <v>4444</v>
      </c>
      <c r="W91" s="1">
        <v>515039</v>
      </c>
      <c r="X91" s="1">
        <v>134775</v>
      </c>
      <c r="Y91" s="1">
        <v>112698</v>
      </c>
      <c r="Z91" s="1">
        <v>4230</v>
      </c>
      <c r="AA91" s="1">
        <v>487357</v>
      </c>
      <c r="AB91" s="1">
        <v>128327</v>
      </c>
      <c r="AC91" s="1">
        <v>61064</v>
      </c>
      <c r="AD91" s="1">
        <v>8480</v>
      </c>
      <c r="AE91" s="1">
        <v>460344</v>
      </c>
      <c r="AF91" s="1">
        <v>121441</v>
      </c>
      <c r="AG91" s="1">
        <v>160617</v>
      </c>
      <c r="AH91" s="1">
        <v>6173</v>
      </c>
      <c r="AI91" s="1">
        <f t="shared" si="9"/>
        <v>27394.754098360656</v>
      </c>
      <c r="AJ91" s="1">
        <f t="shared" si="10"/>
        <v>27375</v>
      </c>
      <c r="AK91" s="8">
        <f t="shared" si="11"/>
        <v>-7.210905522176958E-4</v>
      </c>
      <c r="AL91" s="9">
        <f t="shared" si="12"/>
        <v>740793.33333333337</v>
      </c>
      <c r="AM91" s="8">
        <f t="shared" si="13"/>
        <v>0.65806069911642417</v>
      </c>
      <c r="AN91" s="9">
        <f t="shared" si="14"/>
        <v>25193.333333333332</v>
      </c>
      <c r="AO91" s="8">
        <f t="shared" si="15"/>
        <v>-8.3745514499078744E-2</v>
      </c>
      <c r="AP91" s="8">
        <f t="shared" si="16"/>
        <v>-8.0359208815057759E-2</v>
      </c>
      <c r="AT91">
        <v>11.26</v>
      </c>
      <c r="AU91">
        <v>22.33</v>
      </c>
      <c r="AV91">
        <v>93.63</v>
      </c>
    </row>
    <row r="92" spans="1:48" x14ac:dyDescent="0.2">
      <c r="A92" t="s">
        <v>44</v>
      </c>
      <c r="B92">
        <v>1101666</v>
      </c>
      <c r="C92" s="1">
        <v>431</v>
      </c>
      <c r="D92" s="1">
        <v>504508</v>
      </c>
      <c r="E92" s="2" t="s">
        <v>45</v>
      </c>
      <c r="G92" s="1">
        <v>602967</v>
      </c>
      <c r="H92" s="1">
        <v>344965</v>
      </c>
      <c r="I92" s="1">
        <v>444683</v>
      </c>
      <c r="J92" s="1">
        <v>13638</v>
      </c>
      <c r="K92" s="1">
        <v>589043</v>
      </c>
      <c r="L92" s="1">
        <v>290778</v>
      </c>
      <c r="M92" s="1">
        <v>408001</v>
      </c>
      <c r="N92" s="1">
        <v>14464</v>
      </c>
      <c r="O92" s="1">
        <v>645042</v>
      </c>
      <c r="P92" s="1">
        <v>348758</v>
      </c>
      <c r="Q92" s="1">
        <v>147807</v>
      </c>
      <c r="R92" s="1">
        <v>3473</v>
      </c>
      <c r="S92" s="1">
        <v>646297</v>
      </c>
      <c r="T92" s="1">
        <v>349700</v>
      </c>
      <c r="U92" s="1">
        <v>125007</v>
      </c>
      <c r="V92" s="1">
        <v>3051</v>
      </c>
      <c r="W92" s="1">
        <v>604833</v>
      </c>
      <c r="X92" s="1">
        <v>346790</v>
      </c>
      <c r="Y92" s="1">
        <v>119407</v>
      </c>
      <c r="Z92" s="1">
        <v>2836</v>
      </c>
      <c r="AA92" s="1">
        <v>602967</v>
      </c>
      <c r="AB92" s="1">
        <v>344965</v>
      </c>
      <c r="AC92" s="1">
        <v>116587</v>
      </c>
      <c r="AD92" s="1">
        <v>4189</v>
      </c>
      <c r="AE92" s="1">
        <v>600321</v>
      </c>
      <c r="AF92" s="1">
        <v>340557</v>
      </c>
      <c r="AG92" s="1">
        <v>113543</v>
      </c>
      <c r="AH92" s="1">
        <v>3464</v>
      </c>
      <c r="AI92" s="1">
        <f t="shared" si="9"/>
        <v>13709.456521739132</v>
      </c>
      <c r="AJ92" s="1">
        <f t="shared" si="10"/>
        <v>13549</v>
      </c>
      <c r="AK92" s="8">
        <f t="shared" si="11"/>
        <v>-1.1704076050330303E-2</v>
      </c>
      <c r="AL92" s="9">
        <f t="shared" si="12"/>
        <v>522961.33333333331</v>
      </c>
      <c r="AM92" s="8">
        <f t="shared" si="13"/>
        <v>0.17603176495016304</v>
      </c>
      <c r="AN92" s="9">
        <f t="shared" si="14"/>
        <v>12480</v>
      </c>
      <c r="AO92" s="8">
        <f t="shared" si="15"/>
        <v>-8.4909810822701326E-2</v>
      </c>
      <c r="AP92" s="8">
        <f t="shared" si="16"/>
        <v>-8.9679450078095968E-2</v>
      </c>
      <c r="AT92">
        <v>-2.5499999999999998</v>
      </c>
      <c r="AU92">
        <v>53.97</v>
      </c>
      <c r="AV92">
        <v>15.11</v>
      </c>
    </row>
    <row r="93" spans="1:48" x14ac:dyDescent="0.2">
      <c r="A93" t="s">
        <v>347</v>
      </c>
      <c r="B93">
        <v>1083831</v>
      </c>
      <c r="C93" s="1">
        <v>2299</v>
      </c>
      <c r="D93" s="1">
        <v>321689</v>
      </c>
      <c r="E93" s="2" t="s">
        <v>348</v>
      </c>
      <c r="G93" s="1">
        <v>142989</v>
      </c>
      <c r="H93" s="1">
        <v>91099</v>
      </c>
      <c r="I93" s="1">
        <v>192236</v>
      </c>
      <c r="J93" s="1">
        <v>43708</v>
      </c>
      <c r="K93" s="1">
        <v>151339</v>
      </c>
      <c r="L93" s="1">
        <v>69980</v>
      </c>
      <c r="M93" s="1">
        <v>211671</v>
      </c>
      <c r="N93" s="1">
        <v>41213</v>
      </c>
      <c r="O93" s="1">
        <v>139072</v>
      </c>
      <c r="P93" s="1">
        <v>80556</v>
      </c>
      <c r="Q93" s="1">
        <v>37942</v>
      </c>
      <c r="R93" s="1">
        <v>5331</v>
      </c>
      <c r="S93" s="1">
        <v>139895</v>
      </c>
      <c r="T93" s="1">
        <v>75036</v>
      </c>
      <c r="U93" s="1">
        <v>39599</v>
      </c>
      <c r="V93" s="1">
        <v>6776</v>
      </c>
      <c r="W93" s="1">
        <v>146844</v>
      </c>
      <c r="X93" s="1">
        <v>90319</v>
      </c>
      <c r="Y93" s="1">
        <v>40329</v>
      </c>
      <c r="Z93" s="1">
        <v>6444</v>
      </c>
      <c r="AA93" s="1">
        <v>142989</v>
      </c>
      <c r="AB93" s="1">
        <v>91099</v>
      </c>
      <c r="AC93" s="1">
        <v>42469</v>
      </c>
      <c r="AD93" s="1">
        <v>8650</v>
      </c>
      <c r="AE93" s="1">
        <v>142857</v>
      </c>
      <c r="AF93" s="1">
        <v>82243</v>
      </c>
      <c r="AG93" s="1">
        <v>43153</v>
      </c>
      <c r="AH93" s="1">
        <v>7271</v>
      </c>
      <c r="AI93" s="1">
        <f t="shared" si="9"/>
        <v>27192.645815722739</v>
      </c>
      <c r="AJ93" s="1">
        <f t="shared" si="10"/>
        <v>27201</v>
      </c>
      <c r="AK93" s="8">
        <f t="shared" si="11"/>
        <v>3.0722219286327679E-4</v>
      </c>
      <c r="AL93" s="9">
        <f t="shared" si="12"/>
        <v>157160</v>
      </c>
      <c r="AM93" s="8">
        <f t="shared" si="13"/>
        <v>-0.18246322228926948</v>
      </c>
      <c r="AN93" s="9">
        <f t="shared" si="14"/>
        <v>24734.666666666668</v>
      </c>
      <c r="AO93" s="8">
        <f t="shared" si="15"/>
        <v>-0.43409291967908237</v>
      </c>
      <c r="AP93" s="8">
        <f t="shared" si="16"/>
        <v>-9.0391319980892448E-2</v>
      </c>
      <c r="AT93">
        <v>-3.23</v>
      </c>
      <c r="AU93">
        <v>-18.61</v>
      </c>
      <c r="AV93">
        <v>52.21</v>
      </c>
    </row>
    <row r="94" spans="1:48" x14ac:dyDescent="0.2">
      <c r="A94" t="s">
        <v>573</v>
      </c>
      <c r="B94">
        <v>1175934</v>
      </c>
      <c r="C94" s="1">
        <v>958.4</v>
      </c>
      <c r="D94" s="1">
        <v>1800523</v>
      </c>
      <c r="E94" s="2" t="s">
        <v>574</v>
      </c>
      <c r="G94" s="1">
        <v>3493957</v>
      </c>
      <c r="H94" s="1">
        <v>2148428</v>
      </c>
      <c r="I94" s="1">
        <v>282194</v>
      </c>
      <c r="J94" s="1">
        <v>193359</v>
      </c>
      <c r="K94" s="1">
        <v>3126464</v>
      </c>
      <c r="L94" s="1">
        <v>1858111</v>
      </c>
      <c r="M94" s="1">
        <v>659364</v>
      </c>
      <c r="N94" s="1">
        <v>443881</v>
      </c>
      <c r="O94" s="1">
        <v>4369157</v>
      </c>
      <c r="P94" s="1">
        <v>2456538</v>
      </c>
      <c r="Q94" s="1">
        <v>253035</v>
      </c>
      <c r="R94" s="1">
        <v>175407</v>
      </c>
      <c r="S94" s="1">
        <v>4040163</v>
      </c>
      <c r="T94" s="1">
        <v>2320650</v>
      </c>
      <c r="U94" s="1">
        <v>202728</v>
      </c>
      <c r="V94" s="1">
        <v>142045</v>
      </c>
      <c r="W94" s="1">
        <v>3885596</v>
      </c>
      <c r="X94" s="1">
        <v>2178552</v>
      </c>
      <c r="Y94" s="1">
        <v>84672</v>
      </c>
      <c r="Z94" s="1">
        <v>49347</v>
      </c>
      <c r="AA94" s="1">
        <v>3493957</v>
      </c>
      <c r="AB94" s="1">
        <v>2148428</v>
      </c>
      <c r="AC94" s="1">
        <v>242015</v>
      </c>
      <c r="AD94" s="1">
        <v>196867</v>
      </c>
      <c r="AE94" s="1">
        <v>3052705</v>
      </c>
      <c r="AF94" s="1">
        <v>1971261</v>
      </c>
      <c r="AG94" s="1">
        <v>-8309</v>
      </c>
      <c r="AH94" s="1">
        <v>-15266</v>
      </c>
      <c r="AI94" s="1">
        <f t="shared" si="9"/>
        <v>539078.74251497013</v>
      </c>
      <c r="AJ94" s="1">
        <f t="shared" si="10"/>
        <v>563666</v>
      </c>
      <c r="AK94" s="8">
        <f t="shared" si="11"/>
        <v>4.5609770050146325E-2</v>
      </c>
      <c r="AL94" s="9">
        <f t="shared" si="12"/>
        <v>720580</v>
      </c>
      <c r="AM94" s="8">
        <f t="shared" si="13"/>
        <v>1.5534915696294038</v>
      </c>
      <c r="AN94" s="9">
        <f t="shared" si="14"/>
        <v>489065.33333333331</v>
      </c>
      <c r="AO94" s="8">
        <f t="shared" si="15"/>
        <v>1.529312487824892</v>
      </c>
      <c r="AP94" s="8">
        <f t="shared" si="16"/>
        <v>-9.2775702763400969E-2</v>
      </c>
      <c r="AT94">
        <v>17.670000000000002</v>
      </c>
      <c r="AU94">
        <v>69.19</v>
      </c>
      <c r="AV94">
        <v>79.790000000000006</v>
      </c>
    </row>
    <row r="95" spans="1:48" x14ac:dyDescent="0.2">
      <c r="A95" t="s">
        <v>152</v>
      </c>
      <c r="B95">
        <v>1181437</v>
      </c>
      <c r="C95" s="1">
        <v>1775</v>
      </c>
      <c r="D95" s="1">
        <v>817763</v>
      </c>
      <c r="E95" s="2" t="s">
        <v>153</v>
      </c>
      <c r="G95" s="1">
        <v>2148950</v>
      </c>
      <c r="H95" s="1">
        <v>495178</v>
      </c>
      <c r="I95" s="1">
        <v>444946</v>
      </c>
      <c r="J95" s="1">
        <v>31502</v>
      </c>
      <c r="K95" s="1">
        <v>1580813</v>
      </c>
      <c r="L95" s="1">
        <v>388529</v>
      </c>
      <c r="M95" s="1">
        <v>410508</v>
      </c>
      <c r="N95" s="1">
        <v>89038</v>
      </c>
      <c r="O95" s="1">
        <v>2705644</v>
      </c>
      <c r="P95" s="1">
        <v>509029</v>
      </c>
      <c r="Q95" s="1">
        <v>212681</v>
      </c>
      <c r="R95" s="1">
        <v>8616</v>
      </c>
      <c r="S95" s="1">
        <v>2583955</v>
      </c>
      <c r="T95" s="1">
        <v>500081</v>
      </c>
      <c r="U95" s="1">
        <v>161333</v>
      </c>
      <c r="V95" s="1">
        <v>5483</v>
      </c>
      <c r="W95" s="1">
        <v>2446725</v>
      </c>
      <c r="X95" s="1">
        <v>494333</v>
      </c>
      <c r="Y95" s="1">
        <v>109207</v>
      </c>
      <c r="Z95" s="1">
        <v>3893</v>
      </c>
      <c r="AA95" s="1">
        <v>2148950</v>
      </c>
      <c r="AB95" s="1">
        <v>495178</v>
      </c>
      <c r="AC95" s="1">
        <v>122088</v>
      </c>
      <c r="AD95" s="1">
        <v>9775</v>
      </c>
      <c r="AE95" s="1">
        <v>1940204</v>
      </c>
      <c r="AF95" s="1">
        <v>485135</v>
      </c>
      <c r="AG95" s="1">
        <v>174702</v>
      </c>
      <c r="AH95" s="1">
        <v>8209</v>
      </c>
      <c r="AI95" s="1">
        <f t="shared" si="9"/>
        <v>26776.784544859202</v>
      </c>
      <c r="AJ95" s="1">
        <f t="shared" si="10"/>
        <v>27767</v>
      </c>
      <c r="AK95" s="8">
        <f t="shared" si="11"/>
        <v>3.698037206378868E-2</v>
      </c>
      <c r="AL95" s="9">
        <f t="shared" si="12"/>
        <v>644294.66666666663</v>
      </c>
      <c r="AM95" s="8">
        <f t="shared" si="13"/>
        <v>0.4480288993870416</v>
      </c>
      <c r="AN95" s="9">
        <f t="shared" si="14"/>
        <v>23989.333333333332</v>
      </c>
      <c r="AO95" s="8">
        <f t="shared" si="15"/>
        <v>-0.23848221276955961</v>
      </c>
      <c r="AP95" s="8">
        <f t="shared" si="16"/>
        <v>-0.10409954962501367</v>
      </c>
      <c r="AT95">
        <v>8.61</v>
      </c>
      <c r="AU95">
        <v>35.61</v>
      </c>
      <c r="AV95">
        <v>0</v>
      </c>
    </row>
    <row r="96" spans="1:48" x14ac:dyDescent="0.2">
      <c r="A96" t="s">
        <v>446</v>
      </c>
      <c r="B96">
        <v>1106749</v>
      </c>
      <c r="C96" s="1">
        <v>1626</v>
      </c>
      <c r="D96" s="1">
        <v>366848</v>
      </c>
      <c r="E96" s="2" t="s">
        <v>447</v>
      </c>
      <c r="G96" s="1">
        <v>704031</v>
      </c>
      <c r="H96" s="1">
        <v>185255</v>
      </c>
      <c r="I96" s="1">
        <v>313604</v>
      </c>
      <c r="J96" s="1">
        <v>37307</v>
      </c>
      <c r="K96" s="1">
        <v>552282</v>
      </c>
      <c r="L96" s="1">
        <v>157920</v>
      </c>
      <c r="M96" s="1">
        <v>222636</v>
      </c>
      <c r="N96" s="1">
        <v>19926</v>
      </c>
      <c r="O96" s="1">
        <v>769174</v>
      </c>
      <c r="P96" s="1">
        <v>209311</v>
      </c>
      <c r="Q96" s="1">
        <v>75148</v>
      </c>
      <c r="R96" s="1">
        <v>6187</v>
      </c>
      <c r="S96" s="1">
        <v>787759</v>
      </c>
      <c r="T96" s="1">
        <v>202752</v>
      </c>
      <c r="U96" s="1">
        <v>86963</v>
      </c>
      <c r="V96" s="1">
        <v>8797</v>
      </c>
      <c r="W96" s="1">
        <v>702108</v>
      </c>
      <c r="X96" s="1">
        <v>193478</v>
      </c>
      <c r="Y96" s="1">
        <v>88379</v>
      </c>
      <c r="Z96" s="1">
        <v>7752</v>
      </c>
      <c r="AA96" s="1">
        <v>704031</v>
      </c>
      <c r="AB96" s="1">
        <v>185255</v>
      </c>
      <c r="AC96" s="1">
        <v>88275</v>
      </c>
      <c r="AD96" s="1">
        <v>12365</v>
      </c>
      <c r="AE96" s="1">
        <v>600194</v>
      </c>
      <c r="AF96" s="1">
        <v>171958</v>
      </c>
      <c r="AG96" s="1">
        <v>85863</v>
      </c>
      <c r="AH96" s="1">
        <v>10846</v>
      </c>
      <c r="AI96" s="1">
        <f t="shared" si="9"/>
        <v>33967.407407407409</v>
      </c>
      <c r="AJ96" s="1">
        <f t="shared" si="10"/>
        <v>35101</v>
      </c>
      <c r="AK96" s="8">
        <f t="shared" si="11"/>
        <v>3.3372950104675558E-2</v>
      </c>
      <c r="AL96" s="9">
        <f t="shared" si="12"/>
        <v>333986.66666666669</v>
      </c>
      <c r="AM96" s="8">
        <f t="shared" si="13"/>
        <v>6.4994919282492125E-2</v>
      </c>
      <c r="AN96" s="9">
        <f t="shared" si="14"/>
        <v>30314.666666666668</v>
      </c>
      <c r="AO96" s="8">
        <f t="shared" si="15"/>
        <v>-0.18742684572153567</v>
      </c>
      <c r="AP96" s="8">
        <f t="shared" si="16"/>
        <v>-0.10753663642707612</v>
      </c>
      <c r="AT96">
        <v>3.3</v>
      </c>
      <c r="AU96">
        <v>23.16</v>
      </c>
      <c r="AV96">
        <v>59.11</v>
      </c>
    </row>
    <row r="97" spans="1:48" x14ac:dyDescent="0.2">
      <c r="A97" t="s">
        <v>132</v>
      </c>
      <c r="B97">
        <v>589010</v>
      </c>
      <c r="C97" s="1">
        <v>2738</v>
      </c>
      <c r="D97" s="1">
        <v>766606</v>
      </c>
      <c r="E97" s="2" t="s">
        <v>133</v>
      </c>
      <c r="G97" s="1">
        <v>2576648</v>
      </c>
      <c r="H97" s="1">
        <v>779957</v>
      </c>
      <c r="I97" s="1">
        <v>2064244</v>
      </c>
      <c r="J97" s="1">
        <v>59132</v>
      </c>
      <c r="K97" s="1">
        <v>2588889</v>
      </c>
      <c r="L97" s="1">
        <v>735623</v>
      </c>
      <c r="M97" s="1">
        <v>2046631</v>
      </c>
      <c r="N97" s="1">
        <v>52972</v>
      </c>
      <c r="O97" s="1">
        <v>2485485</v>
      </c>
      <c r="P97" s="1">
        <v>787976</v>
      </c>
      <c r="Q97" s="1">
        <v>550118</v>
      </c>
      <c r="R97" s="1">
        <v>11659</v>
      </c>
      <c r="S97" s="1">
        <v>2510690</v>
      </c>
      <c r="T97" s="1">
        <v>776297</v>
      </c>
      <c r="U97" s="1">
        <v>503158</v>
      </c>
      <c r="V97" s="1">
        <v>4528</v>
      </c>
      <c r="W97" s="1">
        <v>2554565</v>
      </c>
      <c r="X97" s="1">
        <v>774432</v>
      </c>
      <c r="Y97" s="1">
        <v>513861</v>
      </c>
      <c r="Z97" s="1">
        <v>10251</v>
      </c>
      <c r="AA97" s="1">
        <v>2576648</v>
      </c>
      <c r="AB97" s="1">
        <v>779957</v>
      </c>
      <c r="AC97" s="1">
        <v>537116</v>
      </c>
      <c r="AD97" s="1">
        <v>12648</v>
      </c>
      <c r="AE97" s="1">
        <v>2625511</v>
      </c>
      <c r="AF97" s="1">
        <v>767710</v>
      </c>
      <c r="AG97" s="1">
        <v>574275</v>
      </c>
      <c r="AH97" s="1">
        <v>22978</v>
      </c>
      <c r="AI97" s="1">
        <f t="shared" si="9"/>
        <v>39803.011422637588</v>
      </c>
      <c r="AJ97" s="1">
        <f t="shared" si="10"/>
        <v>39086</v>
      </c>
      <c r="AK97" s="8">
        <f t="shared" si="11"/>
        <v>-1.8013999368645672E-2</v>
      </c>
      <c r="AL97" s="9">
        <f t="shared" si="12"/>
        <v>2089516</v>
      </c>
      <c r="AM97" s="8">
        <f t="shared" si="13"/>
        <v>1.2242738746000903E-2</v>
      </c>
      <c r="AN97" s="9">
        <f t="shared" si="14"/>
        <v>35250.666666666664</v>
      </c>
      <c r="AO97" s="8">
        <f t="shared" si="15"/>
        <v>-0.40386479965726396</v>
      </c>
      <c r="AP97" s="8">
        <f t="shared" si="16"/>
        <v>-0.11437186768692131</v>
      </c>
      <c r="AT97">
        <v>2.95</v>
      </c>
      <c r="AU97">
        <v>17.27</v>
      </c>
      <c r="AV97">
        <v>11.25</v>
      </c>
    </row>
    <row r="98" spans="1:48" x14ac:dyDescent="0.2">
      <c r="A98" t="s">
        <v>519</v>
      </c>
      <c r="B98">
        <v>1186527</v>
      </c>
      <c r="C98" s="1">
        <v>3770</v>
      </c>
      <c r="D98" s="1">
        <v>701473</v>
      </c>
      <c r="E98" s="2" t="s">
        <v>520</v>
      </c>
      <c r="G98" s="1">
        <v>2302512</v>
      </c>
      <c r="H98" s="1">
        <v>1027970</v>
      </c>
      <c r="I98" s="1">
        <v>28104</v>
      </c>
      <c r="J98" s="1">
        <v>13697</v>
      </c>
      <c r="K98" s="1">
        <v>2095819</v>
      </c>
      <c r="L98" s="1">
        <v>994754</v>
      </c>
      <c r="M98" s="1">
        <v>37102</v>
      </c>
      <c r="N98" s="1">
        <v>-61420</v>
      </c>
      <c r="O98" s="1">
        <v>2800532</v>
      </c>
      <c r="P98" s="1">
        <v>1135705</v>
      </c>
      <c r="Q98" s="1">
        <v>5676</v>
      </c>
      <c r="R98" s="1">
        <v>127687</v>
      </c>
      <c r="S98" s="1">
        <v>2507326</v>
      </c>
      <c r="T98" s="1">
        <v>1009609</v>
      </c>
      <c r="U98" s="1">
        <v>4456</v>
      </c>
      <c r="V98" s="1">
        <v>-13614</v>
      </c>
      <c r="W98" s="1">
        <v>2506986</v>
      </c>
      <c r="X98" s="1">
        <v>1024909</v>
      </c>
      <c r="Y98" s="1">
        <v>5269</v>
      </c>
      <c r="Z98" s="1">
        <v>-12421</v>
      </c>
      <c r="AA98" s="1">
        <v>2302512</v>
      </c>
      <c r="AB98" s="1">
        <v>1027970</v>
      </c>
      <c r="AC98" s="1">
        <v>6561</v>
      </c>
      <c r="AD98" s="1">
        <v>49254</v>
      </c>
      <c r="AE98" s="1">
        <v>2222289</v>
      </c>
      <c r="AF98" s="1">
        <v>958505</v>
      </c>
      <c r="AG98" s="1">
        <v>8677</v>
      </c>
      <c r="AH98" s="1">
        <v>-9376</v>
      </c>
      <c r="AI98" s="1">
        <f t="shared" si="9"/>
        <v>153831.79824561405</v>
      </c>
      <c r="AJ98" s="1">
        <f t="shared" si="10"/>
        <v>150906</v>
      </c>
      <c r="AK98" s="8">
        <f t="shared" si="11"/>
        <v>-1.9019463329308484E-2</v>
      </c>
      <c r="AL98" s="9">
        <f t="shared" si="12"/>
        <v>20534.666666666668</v>
      </c>
      <c r="AM98" s="8">
        <f t="shared" si="13"/>
        <v>-0.26933295379068223</v>
      </c>
      <c r="AN98" s="9">
        <f t="shared" si="14"/>
        <v>135536</v>
      </c>
      <c r="AO98" s="8">
        <f t="shared" si="15"/>
        <v>8.8953055413594218</v>
      </c>
      <c r="AP98" s="8">
        <f t="shared" si="16"/>
        <v>-0.11893378647503183</v>
      </c>
      <c r="AT98">
        <v>-6.58</v>
      </c>
      <c r="AU98">
        <v>0</v>
      </c>
      <c r="AV98">
        <v>0</v>
      </c>
    </row>
    <row r="99" spans="1:48" x14ac:dyDescent="0.2">
      <c r="A99" t="s">
        <v>230</v>
      </c>
      <c r="B99">
        <v>149013</v>
      </c>
      <c r="C99" s="1">
        <v>20760</v>
      </c>
      <c r="D99" s="1">
        <v>836084</v>
      </c>
      <c r="E99" s="2" t="s">
        <v>231</v>
      </c>
      <c r="G99" s="1">
        <v>1119970</v>
      </c>
      <c r="H99" s="1">
        <v>886460</v>
      </c>
      <c r="I99" s="1">
        <v>194125</v>
      </c>
      <c r="J99" s="1">
        <v>30851</v>
      </c>
      <c r="K99" s="1">
        <v>1082962</v>
      </c>
      <c r="L99" s="1">
        <v>863150</v>
      </c>
      <c r="M99" s="1">
        <v>184716</v>
      </c>
      <c r="N99" s="1">
        <v>27907</v>
      </c>
      <c r="O99" s="1">
        <v>1181660</v>
      </c>
      <c r="P99" s="1">
        <v>892868</v>
      </c>
      <c r="Q99" s="1">
        <v>63414</v>
      </c>
      <c r="R99" s="1">
        <v>7145</v>
      </c>
      <c r="S99" s="1">
        <v>1116291</v>
      </c>
      <c r="T99" s="1">
        <v>886147</v>
      </c>
      <c r="U99" s="1">
        <v>62792</v>
      </c>
      <c r="V99" s="1">
        <v>6376</v>
      </c>
      <c r="W99" s="1">
        <v>1137095</v>
      </c>
      <c r="X99" s="1">
        <v>886898</v>
      </c>
      <c r="Y99" s="1">
        <v>57870</v>
      </c>
      <c r="Z99" s="1">
        <v>7435</v>
      </c>
      <c r="AA99" s="1">
        <v>1119970</v>
      </c>
      <c r="AB99" s="1">
        <v>886460</v>
      </c>
      <c r="AC99" s="1">
        <v>55794</v>
      </c>
      <c r="AD99" s="1">
        <v>10818</v>
      </c>
      <c r="AE99" s="1">
        <v>1100934</v>
      </c>
      <c r="AF99" s="1">
        <v>881548</v>
      </c>
      <c r="AG99" s="1">
        <v>51941</v>
      </c>
      <c r="AH99" s="1">
        <v>7428</v>
      </c>
      <c r="AI99" s="1">
        <f t="shared" si="9"/>
        <v>31778.183200304069</v>
      </c>
      <c r="AJ99" s="1">
        <f t="shared" si="10"/>
        <v>31774</v>
      </c>
      <c r="AK99" s="8">
        <f t="shared" si="11"/>
        <v>-1.3163749096989363E-4</v>
      </c>
      <c r="AL99" s="9">
        <f t="shared" si="12"/>
        <v>245434.66666666666</v>
      </c>
      <c r="AM99" s="8">
        <f t="shared" si="13"/>
        <v>0.26431251341489581</v>
      </c>
      <c r="AN99" s="9">
        <f t="shared" si="14"/>
        <v>27941.333333333332</v>
      </c>
      <c r="AO99" s="8">
        <f t="shared" si="15"/>
        <v>-9.431352846477159E-2</v>
      </c>
      <c r="AP99" s="8">
        <f t="shared" si="16"/>
        <v>-0.12073849039091777</v>
      </c>
      <c r="AT99">
        <v>3.33</v>
      </c>
      <c r="AU99">
        <v>41.52</v>
      </c>
      <c r="AV99">
        <v>42.98</v>
      </c>
    </row>
    <row r="100" spans="1:48" x14ac:dyDescent="0.2">
      <c r="A100" t="s">
        <v>265</v>
      </c>
      <c r="B100">
        <v>1190628</v>
      </c>
      <c r="C100" s="1">
        <v>2387</v>
      </c>
      <c r="D100" s="1">
        <v>538351</v>
      </c>
      <c r="E100" s="2" t="s">
        <v>266</v>
      </c>
      <c r="G100" s="1">
        <v>1363392</v>
      </c>
      <c r="H100" s="1">
        <v>522632</v>
      </c>
      <c r="I100" s="1">
        <v>88070</v>
      </c>
      <c r="J100" s="1">
        <v>67112</v>
      </c>
      <c r="K100" s="1">
        <v>1133378</v>
      </c>
      <c r="L100" s="1">
        <v>471087</v>
      </c>
      <c r="M100" s="1">
        <v>82050</v>
      </c>
      <c r="N100" s="1">
        <v>41295</v>
      </c>
      <c r="O100" s="1">
        <v>1350793</v>
      </c>
      <c r="P100" s="1">
        <v>554308</v>
      </c>
      <c r="Q100" s="1">
        <v>26021</v>
      </c>
      <c r="R100" s="1">
        <v>11270</v>
      </c>
      <c r="S100" s="1">
        <v>1365797</v>
      </c>
      <c r="T100" s="1">
        <v>551628</v>
      </c>
      <c r="U100" s="1">
        <v>24678</v>
      </c>
      <c r="V100" s="1">
        <v>9423</v>
      </c>
      <c r="W100" s="1">
        <v>1376748</v>
      </c>
      <c r="X100" s="1">
        <v>544966</v>
      </c>
      <c r="Y100" s="1">
        <v>24532</v>
      </c>
      <c r="Z100" s="1">
        <v>24022</v>
      </c>
      <c r="AA100" s="1">
        <v>1363392</v>
      </c>
      <c r="AB100" s="1">
        <v>522632</v>
      </c>
      <c r="AC100" s="1">
        <v>22445</v>
      </c>
      <c r="AD100" s="1">
        <v>20526</v>
      </c>
      <c r="AE100" s="1">
        <v>1219169</v>
      </c>
      <c r="AF100" s="1">
        <v>515172</v>
      </c>
      <c r="AG100" s="1">
        <v>22915</v>
      </c>
      <c r="AH100" s="1">
        <v>27348</v>
      </c>
      <c r="AI100" s="1">
        <f t="shared" si="9"/>
        <v>68059.544879898865</v>
      </c>
      <c r="AJ100" s="1">
        <f t="shared" si="10"/>
        <v>65241</v>
      </c>
      <c r="AK100" s="8">
        <f t="shared" si="11"/>
        <v>-4.1412925767761233E-2</v>
      </c>
      <c r="AL100" s="9">
        <f t="shared" si="12"/>
        <v>100308</v>
      </c>
      <c r="AM100" s="8">
        <f t="shared" si="13"/>
        <v>0.13895764732599059</v>
      </c>
      <c r="AN100" s="9">
        <f t="shared" si="14"/>
        <v>59620</v>
      </c>
      <c r="AO100" s="8">
        <f t="shared" si="15"/>
        <v>-0.1116342829896293</v>
      </c>
      <c r="AP100" s="8">
        <f t="shared" si="16"/>
        <v>-0.12400237020085414</v>
      </c>
      <c r="AT100">
        <v>24.67</v>
      </c>
      <c r="AU100">
        <v>60.5</v>
      </c>
      <c r="AV100">
        <v>108.35</v>
      </c>
    </row>
    <row r="101" spans="1:48" x14ac:dyDescent="0.2">
      <c r="A101" t="s">
        <v>215</v>
      </c>
      <c r="B101">
        <v>1094283</v>
      </c>
      <c r="C101" s="1">
        <v>2516</v>
      </c>
      <c r="D101" s="1">
        <v>246217</v>
      </c>
      <c r="E101" s="2" t="s">
        <v>216</v>
      </c>
      <c r="G101" s="1">
        <v>552630</v>
      </c>
      <c r="H101" s="1">
        <v>260502</v>
      </c>
      <c r="I101" s="1">
        <v>402769</v>
      </c>
      <c r="J101" s="1">
        <v>29151</v>
      </c>
      <c r="K101" s="1">
        <v>533271</v>
      </c>
      <c r="L101" s="1">
        <v>231819</v>
      </c>
      <c r="M101" s="1">
        <v>462946</v>
      </c>
      <c r="N101" s="1">
        <v>-25</v>
      </c>
      <c r="O101" s="1">
        <v>592150</v>
      </c>
      <c r="P101" s="1">
        <v>269645</v>
      </c>
      <c r="Q101" s="1">
        <v>118843</v>
      </c>
      <c r="R101" s="1">
        <v>10323</v>
      </c>
      <c r="S101" s="1">
        <v>602439</v>
      </c>
      <c r="T101" s="1">
        <v>259349</v>
      </c>
      <c r="U101" s="1">
        <v>99982</v>
      </c>
      <c r="V101" s="1">
        <v>5825</v>
      </c>
      <c r="W101" s="1">
        <v>593622</v>
      </c>
      <c r="X101" s="1">
        <v>254184</v>
      </c>
      <c r="Y101" s="1">
        <v>100269</v>
      </c>
      <c r="Z101" s="1">
        <v>5406</v>
      </c>
      <c r="AA101" s="1">
        <v>552630</v>
      </c>
      <c r="AB101" s="1">
        <v>260502</v>
      </c>
      <c r="AC101" s="1">
        <v>103820</v>
      </c>
      <c r="AD101" s="1">
        <v>13436</v>
      </c>
      <c r="AE101" s="1">
        <v>550236</v>
      </c>
      <c r="AF101" s="1">
        <v>247996</v>
      </c>
      <c r="AG101" s="1">
        <v>108558</v>
      </c>
      <c r="AH101" s="1">
        <v>8609</v>
      </c>
      <c r="AI101" s="1">
        <f t="shared" si="9"/>
        <v>33590.31377899045</v>
      </c>
      <c r="AJ101" s="1">
        <f t="shared" si="10"/>
        <v>34990</v>
      </c>
      <c r="AK101" s="8">
        <f t="shared" si="11"/>
        <v>4.1669340459838278E-2</v>
      </c>
      <c r="AL101" s="9">
        <f t="shared" si="12"/>
        <v>425458.66666666669</v>
      </c>
      <c r="AM101" s="8">
        <f t="shared" si="13"/>
        <v>5.6334193214141903E-2</v>
      </c>
      <c r="AN101" s="9">
        <f t="shared" si="14"/>
        <v>28738.666666666668</v>
      </c>
      <c r="AO101" s="8">
        <f t="shared" si="15"/>
        <v>-1.4144740603524109E-2</v>
      </c>
      <c r="AP101" s="8">
        <f t="shared" si="16"/>
        <v>-0.14443589733175743</v>
      </c>
      <c r="AT101">
        <v>1.47</v>
      </c>
      <c r="AU101">
        <v>117.02</v>
      </c>
      <c r="AV101">
        <v>37.06</v>
      </c>
    </row>
    <row r="102" spans="1:48" x14ac:dyDescent="0.2">
      <c r="A102" t="s">
        <v>439</v>
      </c>
      <c r="B102">
        <v>1129444</v>
      </c>
      <c r="C102" s="1">
        <v>1565</v>
      </c>
      <c r="D102" s="1">
        <v>620055</v>
      </c>
      <c r="E102" s="2" t="s">
        <v>440</v>
      </c>
      <c r="G102" s="1">
        <v>984165</v>
      </c>
      <c r="H102" s="1">
        <v>458236</v>
      </c>
      <c r="I102" s="1">
        <v>1023898</v>
      </c>
      <c r="J102" s="1">
        <v>47931</v>
      </c>
      <c r="K102" s="1">
        <v>979100</v>
      </c>
      <c r="L102" s="1">
        <v>422687</v>
      </c>
      <c r="M102" s="1">
        <v>1059188</v>
      </c>
      <c r="N102" s="1">
        <v>37443</v>
      </c>
      <c r="O102" s="1">
        <v>953884</v>
      </c>
      <c r="P102" s="1">
        <v>462641</v>
      </c>
      <c r="Q102" s="1">
        <v>279232</v>
      </c>
      <c r="R102" s="1">
        <v>11441</v>
      </c>
      <c r="S102" s="1">
        <v>965294</v>
      </c>
      <c r="T102" s="1">
        <v>451141</v>
      </c>
      <c r="U102" s="1">
        <v>242135</v>
      </c>
      <c r="V102" s="1">
        <v>7226</v>
      </c>
      <c r="W102" s="1">
        <v>986513</v>
      </c>
      <c r="X102" s="1">
        <v>443856</v>
      </c>
      <c r="Y102" s="1">
        <v>253961</v>
      </c>
      <c r="Z102" s="1">
        <v>9536</v>
      </c>
      <c r="AA102" s="1">
        <v>984165</v>
      </c>
      <c r="AB102" s="1">
        <v>458236</v>
      </c>
      <c r="AC102" s="1">
        <v>273844</v>
      </c>
      <c r="AD102" s="1">
        <v>14808</v>
      </c>
      <c r="AE102" s="1">
        <v>1011460</v>
      </c>
      <c r="AF102" s="1">
        <v>443172</v>
      </c>
      <c r="AG102" s="1">
        <v>281887</v>
      </c>
      <c r="AH102" s="1">
        <v>13888</v>
      </c>
      <c r="AI102" s="1">
        <f t="shared" si="9"/>
        <v>44576.204169662116</v>
      </c>
      <c r="AJ102" s="1">
        <f t="shared" si="10"/>
        <v>43011</v>
      </c>
      <c r="AK102" s="8">
        <f t="shared" si="11"/>
        <v>-3.5112998040496501E-2</v>
      </c>
      <c r="AL102" s="9">
        <f t="shared" si="12"/>
        <v>1033770.6666666666</v>
      </c>
      <c r="AM102" s="8">
        <f t="shared" si="13"/>
        <v>9.6422364988177911E-3</v>
      </c>
      <c r="AN102" s="9">
        <f t="shared" si="14"/>
        <v>37604</v>
      </c>
      <c r="AO102" s="8">
        <f t="shared" si="15"/>
        <v>-0.21545555068744648</v>
      </c>
      <c r="AP102" s="8">
        <f t="shared" si="16"/>
        <v>-0.15641089903315031</v>
      </c>
      <c r="AT102">
        <v>13.73</v>
      </c>
      <c r="AU102">
        <v>30.5</v>
      </c>
      <c r="AV102">
        <v>30.68</v>
      </c>
    </row>
    <row r="103" spans="1:48" x14ac:dyDescent="0.2">
      <c r="A103" t="s">
        <v>658</v>
      </c>
      <c r="B103">
        <v>1082585</v>
      </c>
      <c r="C103" s="1">
        <v>1394</v>
      </c>
      <c r="D103" s="1">
        <v>178461</v>
      </c>
      <c r="E103" s="2" t="s">
        <v>659</v>
      </c>
      <c r="G103" s="1">
        <v>546273.19999999995</v>
      </c>
      <c r="H103" s="1">
        <v>280060.43</v>
      </c>
      <c r="I103" s="1">
        <v>1071718.3799999999</v>
      </c>
      <c r="J103" s="1">
        <v>55113.47</v>
      </c>
      <c r="K103" s="1">
        <v>510841.2</v>
      </c>
      <c r="L103" s="1">
        <v>229161.12</v>
      </c>
      <c r="M103" s="1">
        <v>883040.32</v>
      </c>
      <c r="N103" s="1">
        <v>39653.99</v>
      </c>
      <c r="O103" s="1">
        <v>503804.65</v>
      </c>
      <c r="P103" s="1">
        <v>261679.82</v>
      </c>
      <c r="Q103" s="1">
        <v>180375.36</v>
      </c>
      <c r="R103" s="1">
        <v>-6281.4</v>
      </c>
      <c r="S103" s="1">
        <v>545137.75</v>
      </c>
      <c r="T103" s="1">
        <v>272919.56</v>
      </c>
      <c r="U103" s="1">
        <v>232074.53</v>
      </c>
      <c r="V103" s="1">
        <v>11444.57</v>
      </c>
      <c r="W103" s="1">
        <v>556060.35</v>
      </c>
      <c r="X103" s="1">
        <v>286070.34999999998</v>
      </c>
      <c r="Y103" s="1">
        <v>219581.36</v>
      </c>
      <c r="Z103" s="1">
        <v>6896.89</v>
      </c>
      <c r="AA103" s="1">
        <v>546273.19999999995</v>
      </c>
      <c r="AB103" s="1">
        <v>280060.43</v>
      </c>
      <c r="AC103" s="1">
        <v>231336.51</v>
      </c>
      <c r="AD103" s="1">
        <v>7002.24</v>
      </c>
      <c r="AE103" s="1">
        <v>562139.21</v>
      </c>
      <c r="AF103" s="1">
        <v>278654.39</v>
      </c>
      <c r="AG103" s="1">
        <v>283377.21999999997</v>
      </c>
      <c r="AH103" s="1">
        <v>16212.7</v>
      </c>
      <c r="AI103" s="1">
        <f t="shared" si="9"/>
        <v>19066.346153846156</v>
      </c>
      <c r="AJ103" s="1">
        <f t="shared" si="10"/>
        <v>19062.300000000003</v>
      </c>
      <c r="AK103" s="8">
        <f t="shared" si="11"/>
        <v>-2.1221443340557755E-4</v>
      </c>
      <c r="AL103" s="9">
        <f t="shared" si="12"/>
        <v>842708.33333333337</v>
      </c>
      <c r="AM103" s="8">
        <f t="shared" si="13"/>
        <v>-0.21368491101801068</v>
      </c>
      <c r="AN103" s="9">
        <f t="shared" si="14"/>
        <v>16080.08</v>
      </c>
      <c r="AO103" s="8">
        <f t="shared" si="15"/>
        <v>-0.70823684300770751</v>
      </c>
      <c r="AP103" s="8">
        <f t="shared" si="16"/>
        <v>-0.15662498360986443</v>
      </c>
      <c r="AT103">
        <v>-37.31</v>
      </c>
      <c r="AU103">
        <v>-54.86</v>
      </c>
      <c r="AV103">
        <v>91.54</v>
      </c>
    </row>
    <row r="104" spans="1:48" x14ac:dyDescent="0.2">
      <c r="A104" t="s">
        <v>441</v>
      </c>
      <c r="B104">
        <v>1140573</v>
      </c>
      <c r="C104" s="1">
        <v>235</v>
      </c>
      <c r="D104" s="1">
        <v>1822776</v>
      </c>
      <c r="E104" s="2" t="s">
        <v>442</v>
      </c>
      <c r="G104" s="1">
        <v>3487680</v>
      </c>
      <c r="H104" s="1">
        <v>1730989</v>
      </c>
      <c r="I104" s="1">
        <v>237112</v>
      </c>
      <c r="J104" s="1">
        <v>123001</v>
      </c>
      <c r="K104" s="1">
        <v>3170068</v>
      </c>
      <c r="L104" s="1">
        <v>1582883</v>
      </c>
      <c r="M104" s="1">
        <v>200585</v>
      </c>
      <c r="N104" s="1">
        <v>147996</v>
      </c>
      <c r="O104" s="1">
        <v>3731879</v>
      </c>
      <c r="P104" s="1">
        <v>1782344</v>
      </c>
      <c r="Q104" s="1">
        <v>67771</v>
      </c>
      <c r="R104" s="1">
        <v>32335</v>
      </c>
      <c r="S104" s="1">
        <v>3681291</v>
      </c>
      <c r="T104" s="1">
        <v>1760287</v>
      </c>
      <c r="U104" s="1">
        <v>64693</v>
      </c>
      <c r="V104" s="1">
        <v>37064</v>
      </c>
      <c r="W104" s="1">
        <v>3556592</v>
      </c>
      <c r="X104" s="1">
        <v>1747079</v>
      </c>
      <c r="Y104" s="1">
        <v>60271</v>
      </c>
      <c r="Z104" s="1">
        <v>39993</v>
      </c>
      <c r="AA104" s="1">
        <v>3487680</v>
      </c>
      <c r="AB104" s="1">
        <v>1730989</v>
      </c>
      <c r="AC104" s="1">
        <v>61297</v>
      </c>
      <c r="AD104" s="1">
        <v>67666</v>
      </c>
      <c r="AE104" s="1">
        <v>3537587</v>
      </c>
      <c r="AF104" s="1">
        <v>1670939</v>
      </c>
      <c r="AG104" s="1">
        <v>61140</v>
      </c>
      <c r="AH104" s="1">
        <v>17631</v>
      </c>
      <c r="AI104" s="1">
        <f t="shared" si="9"/>
        <v>173103.13390313392</v>
      </c>
      <c r="AJ104" s="1">
        <f t="shared" si="10"/>
        <v>177058</v>
      </c>
      <c r="AK104" s="8">
        <f t="shared" si="11"/>
        <v>2.2846877509907992E-2</v>
      </c>
      <c r="AL104" s="9">
        <f t="shared" si="12"/>
        <v>256980</v>
      </c>
      <c r="AM104" s="8">
        <f t="shared" si="13"/>
        <v>8.3791625898309574E-2</v>
      </c>
      <c r="AN104" s="9">
        <f t="shared" si="14"/>
        <v>145856</v>
      </c>
      <c r="AO104" s="8">
        <f t="shared" si="15"/>
        <v>0.18581149746750025</v>
      </c>
      <c r="AP104" s="8">
        <f t="shared" si="16"/>
        <v>-0.15740404745289605</v>
      </c>
      <c r="AT104">
        <v>5.39</v>
      </c>
      <c r="AU104">
        <v>26.49</v>
      </c>
      <c r="AV104">
        <v>60.77</v>
      </c>
    </row>
    <row r="105" spans="1:48" x14ac:dyDescent="0.2">
      <c r="A105" t="s">
        <v>403</v>
      </c>
      <c r="B105">
        <v>1139955</v>
      </c>
      <c r="C105" s="1">
        <v>666.9</v>
      </c>
      <c r="D105" s="1">
        <v>341034</v>
      </c>
      <c r="E105" s="2" t="s">
        <v>404</v>
      </c>
      <c r="G105" s="1">
        <v>1518720.24</v>
      </c>
      <c r="H105" s="1">
        <v>486024.76</v>
      </c>
      <c r="I105" s="1">
        <v>142845.70000000001</v>
      </c>
      <c r="J105" s="1">
        <v>37133.75</v>
      </c>
      <c r="K105" s="1">
        <v>1510899.43</v>
      </c>
      <c r="L105" s="1">
        <v>448293.58</v>
      </c>
      <c r="M105" s="1">
        <v>140078.37</v>
      </c>
      <c r="N105" s="1">
        <v>29030.51</v>
      </c>
      <c r="O105" s="1">
        <v>1521123.66</v>
      </c>
      <c r="P105" s="1">
        <v>458581.87</v>
      </c>
      <c r="Q105" s="1">
        <v>34858.46</v>
      </c>
      <c r="R105" s="1">
        <v>6906.23</v>
      </c>
      <c r="S105" s="1">
        <v>1534664.63</v>
      </c>
      <c r="T105" s="1">
        <v>460507.29</v>
      </c>
      <c r="U105" s="1">
        <v>33787.440000000002</v>
      </c>
      <c r="V105" s="1">
        <v>2441.33</v>
      </c>
      <c r="W105" s="1">
        <v>1556380.8</v>
      </c>
      <c r="X105" s="1">
        <v>504569.77</v>
      </c>
      <c r="Y105" s="1">
        <v>35767.160000000003</v>
      </c>
      <c r="Z105" s="1">
        <v>8837.69</v>
      </c>
      <c r="AA105" s="1">
        <v>1518720.24</v>
      </c>
      <c r="AB105" s="1">
        <v>486024.76</v>
      </c>
      <c r="AC105" s="1">
        <v>37542.22</v>
      </c>
      <c r="AD105" s="1">
        <v>10590.89</v>
      </c>
      <c r="AE105" s="1">
        <v>1558125.82</v>
      </c>
      <c r="AF105" s="1">
        <v>485906.12</v>
      </c>
      <c r="AG105" s="1">
        <v>35805.21</v>
      </c>
      <c r="AH105" s="1">
        <v>8113.77</v>
      </c>
      <c r="AI105" s="1">
        <f t="shared" si="9"/>
        <v>29148.205128205129</v>
      </c>
      <c r="AJ105" s="1">
        <f t="shared" si="10"/>
        <v>28776.14</v>
      </c>
      <c r="AK105" s="8">
        <f t="shared" si="11"/>
        <v>-1.2764598251200798E-2</v>
      </c>
      <c r="AL105" s="9">
        <f t="shared" si="12"/>
        <v>139217.41333333333</v>
      </c>
      <c r="AM105" s="8">
        <f t="shared" si="13"/>
        <v>-2.5400041209967639E-2</v>
      </c>
      <c r="AN105" s="9">
        <f t="shared" si="14"/>
        <v>24247</v>
      </c>
      <c r="AO105" s="8">
        <f t="shared" si="15"/>
        <v>-0.34703605210893052</v>
      </c>
      <c r="AP105" s="8">
        <f t="shared" si="16"/>
        <v>-0.16814775066415666</v>
      </c>
      <c r="AT105">
        <v>-4.7699999999999996</v>
      </c>
      <c r="AU105">
        <v>8.67</v>
      </c>
      <c r="AV105">
        <v>9.7100000000000009</v>
      </c>
    </row>
    <row r="106" spans="1:48" x14ac:dyDescent="0.2">
      <c r="A106" t="s">
        <v>337</v>
      </c>
      <c r="B106">
        <v>1178714</v>
      </c>
      <c r="C106" s="1">
        <v>589.1</v>
      </c>
      <c r="D106" s="1">
        <v>748188</v>
      </c>
      <c r="E106" s="2" t="s">
        <v>338</v>
      </c>
      <c r="G106" s="1">
        <v>593233</v>
      </c>
      <c r="H106" s="1">
        <v>261044</v>
      </c>
      <c r="I106" s="1">
        <v>492341</v>
      </c>
      <c r="J106" s="1">
        <v>25212</v>
      </c>
      <c r="K106" s="1">
        <v>538423</v>
      </c>
      <c r="L106" s="1">
        <v>235371</v>
      </c>
      <c r="M106" s="1">
        <v>423695</v>
      </c>
      <c r="N106" s="1">
        <v>-2063</v>
      </c>
      <c r="O106" s="1">
        <v>550470</v>
      </c>
      <c r="P106" s="1">
        <v>247847</v>
      </c>
      <c r="Q106" s="1">
        <v>133777</v>
      </c>
      <c r="R106" s="1">
        <v>4914</v>
      </c>
      <c r="S106" s="1">
        <v>549586</v>
      </c>
      <c r="T106" s="1">
        <v>251408</v>
      </c>
      <c r="U106" s="1">
        <v>133654</v>
      </c>
      <c r="V106" s="1">
        <v>6922</v>
      </c>
      <c r="W106" s="1">
        <v>565174</v>
      </c>
      <c r="X106" s="1">
        <v>244202</v>
      </c>
      <c r="Y106" s="1">
        <v>112888</v>
      </c>
      <c r="Z106" s="1">
        <v>5623</v>
      </c>
      <c r="AA106" s="1">
        <v>593233</v>
      </c>
      <c r="AB106" s="1">
        <v>261044</v>
      </c>
      <c r="AC106" s="1">
        <v>157469</v>
      </c>
      <c r="AD106" s="1">
        <v>11016</v>
      </c>
      <c r="AE106" s="1">
        <v>565453</v>
      </c>
      <c r="AF106" s="1">
        <v>250911</v>
      </c>
      <c r="AG106" s="1">
        <v>109091</v>
      </c>
      <c r="AH106" s="1">
        <v>3378</v>
      </c>
      <c r="AI106" s="1">
        <f t="shared" si="9"/>
        <v>28469.863013698628</v>
      </c>
      <c r="AJ106" s="1">
        <f t="shared" si="10"/>
        <v>28475</v>
      </c>
      <c r="AK106" s="8">
        <f t="shared" si="11"/>
        <v>1.8043593321470652E-4</v>
      </c>
      <c r="AL106" s="9">
        <f t="shared" si="12"/>
        <v>507092</v>
      </c>
      <c r="AM106" s="8">
        <f t="shared" si="13"/>
        <v>2.9960941705037714E-2</v>
      </c>
      <c r="AN106" s="9">
        <f t="shared" si="14"/>
        <v>23278.666666666668</v>
      </c>
      <c r="AO106" s="8">
        <f t="shared" si="15"/>
        <v>-7.6683060976254658E-2</v>
      </c>
      <c r="AP106" s="8">
        <f t="shared" si="16"/>
        <v>-0.18234005356942362</v>
      </c>
      <c r="AT106">
        <v>14.7</v>
      </c>
      <c r="AU106">
        <v>41.67</v>
      </c>
      <c r="AV106">
        <v>-7.2</v>
      </c>
    </row>
    <row r="107" spans="1:48" x14ac:dyDescent="0.2">
      <c r="A107" t="s">
        <v>321</v>
      </c>
      <c r="B107">
        <v>1083377</v>
      </c>
      <c r="C107" s="1">
        <v>1326</v>
      </c>
      <c r="D107" s="1">
        <v>280948</v>
      </c>
      <c r="E107" s="2" t="s">
        <v>322</v>
      </c>
      <c r="G107" s="1">
        <v>338622</v>
      </c>
      <c r="H107" s="1">
        <v>76893</v>
      </c>
      <c r="I107" s="1">
        <v>268540</v>
      </c>
      <c r="J107" s="1">
        <v>15532</v>
      </c>
      <c r="K107" s="1">
        <v>288062</v>
      </c>
      <c r="L107" s="1">
        <v>67262</v>
      </c>
      <c r="M107" s="1">
        <v>236726</v>
      </c>
      <c r="N107" s="1">
        <v>12106</v>
      </c>
      <c r="O107" s="1">
        <v>309528</v>
      </c>
      <c r="P107" s="1">
        <v>79716</v>
      </c>
      <c r="Q107" s="1">
        <v>71204</v>
      </c>
      <c r="R107" s="1">
        <v>3896</v>
      </c>
      <c r="S107" s="1">
        <v>317641</v>
      </c>
      <c r="T107" s="1">
        <v>75820</v>
      </c>
      <c r="U107" s="1">
        <v>73105</v>
      </c>
      <c r="V107" s="1">
        <v>3376</v>
      </c>
      <c r="W107" s="1">
        <v>329319</v>
      </c>
      <c r="X107" s="1">
        <v>72444</v>
      </c>
      <c r="Y107" s="1">
        <v>68986</v>
      </c>
      <c r="Z107" s="1">
        <v>3051</v>
      </c>
      <c r="AA107" s="1">
        <v>338622</v>
      </c>
      <c r="AB107" s="1">
        <v>76893</v>
      </c>
      <c r="AC107" s="1">
        <v>75589</v>
      </c>
      <c r="AD107" s="1">
        <v>6765</v>
      </c>
      <c r="AE107" s="1">
        <v>288333</v>
      </c>
      <c r="AF107" s="1">
        <v>70029</v>
      </c>
      <c r="AG107" s="1">
        <v>67892</v>
      </c>
      <c r="AH107" s="1">
        <v>3819</v>
      </c>
      <c r="AI107" s="1">
        <f t="shared" si="9"/>
        <v>17089.294403892942</v>
      </c>
      <c r="AJ107" s="1">
        <f t="shared" si="10"/>
        <v>17088</v>
      </c>
      <c r="AK107" s="8">
        <f t="shared" si="11"/>
        <v>-7.574355396711141E-5</v>
      </c>
      <c r="AL107" s="9">
        <f t="shared" si="12"/>
        <v>284393.33333333331</v>
      </c>
      <c r="AM107" s="8">
        <f t="shared" si="13"/>
        <v>5.9035277177825751E-2</v>
      </c>
      <c r="AN107" s="9">
        <f t="shared" si="14"/>
        <v>13764</v>
      </c>
      <c r="AO107" s="8">
        <f t="shared" si="15"/>
        <v>-0.113829513262941</v>
      </c>
      <c r="AP107" s="8">
        <f t="shared" si="16"/>
        <v>-0.19458348164073058</v>
      </c>
      <c r="AT107">
        <v>4.49</v>
      </c>
      <c r="AU107">
        <v>45.82</v>
      </c>
      <c r="AV107">
        <v>19.98</v>
      </c>
    </row>
    <row r="108" spans="1:48" x14ac:dyDescent="0.2">
      <c r="A108" t="s">
        <v>90</v>
      </c>
      <c r="B108">
        <v>1182484</v>
      </c>
      <c r="C108" s="1">
        <v>536</v>
      </c>
      <c r="D108" s="1">
        <v>305393</v>
      </c>
      <c r="E108" s="2" t="s">
        <v>91</v>
      </c>
      <c r="G108" s="1">
        <v>843746</v>
      </c>
      <c r="H108" s="1">
        <v>260821</v>
      </c>
      <c r="I108" s="1">
        <v>1597360</v>
      </c>
      <c r="J108" s="1">
        <v>36165</v>
      </c>
      <c r="K108" s="1">
        <v>568644</v>
      </c>
      <c r="L108" s="1">
        <v>240297</v>
      </c>
      <c r="M108" s="1">
        <v>1444095</v>
      </c>
      <c r="N108" s="1">
        <v>32732</v>
      </c>
      <c r="O108" s="1">
        <v>648989</v>
      </c>
      <c r="P108" s="1">
        <v>282550</v>
      </c>
      <c r="Q108" s="1">
        <v>382817</v>
      </c>
      <c r="R108" s="1">
        <v>8564</v>
      </c>
      <c r="S108" s="1">
        <v>635705</v>
      </c>
      <c r="T108" s="1">
        <v>273813</v>
      </c>
      <c r="U108" s="1">
        <v>365406</v>
      </c>
      <c r="V108" s="1">
        <v>6386</v>
      </c>
      <c r="W108" s="1">
        <v>671520</v>
      </c>
      <c r="X108" s="1">
        <v>267222</v>
      </c>
      <c r="Y108" s="1">
        <v>346827</v>
      </c>
      <c r="Z108" s="1">
        <v>6148</v>
      </c>
      <c r="AA108" s="1">
        <v>843746</v>
      </c>
      <c r="AB108" s="1">
        <v>260821</v>
      </c>
      <c r="AC108" s="1">
        <v>498249</v>
      </c>
      <c r="AD108" s="1">
        <v>14461</v>
      </c>
      <c r="AE108" s="1">
        <v>618262</v>
      </c>
      <c r="AF108" s="1">
        <v>246133</v>
      </c>
      <c r="AG108" s="1">
        <v>334692</v>
      </c>
      <c r="AH108" s="1">
        <v>4802</v>
      </c>
      <c r="AI108" s="1">
        <f t="shared" si="9"/>
        <v>35552.153667054714</v>
      </c>
      <c r="AJ108" s="1">
        <f t="shared" si="10"/>
        <v>35559</v>
      </c>
      <c r="AK108" s="8">
        <f t="shared" si="11"/>
        <v>1.9257153896790058E-4</v>
      </c>
      <c r="AL108" s="9">
        <f t="shared" si="12"/>
        <v>1460066.6666666667</v>
      </c>
      <c r="AM108" s="8">
        <f t="shared" si="13"/>
        <v>-8.5950151082619608E-2</v>
      </c>
      <c r="AN108" s="9">
        <f t="shared" si="14"/>
        <v>28130.666666666668</v>
      </c>
      <c r="AO108" s="8">
        <f t="shared" si="15"/>
        <v>-0.22215770311995942</v>
      </c>
      <c r="AP108" s="8">
        <f t="shared" si="16"/>
        <v>-0.20874929462474034</v>
      </c>
      <c r="AT108">
        <v>-6.3</v>
      </c>
      <c r="AU108">
        <v>26.49</v>
      </c>
      <c r="AV108">
        <v>-2.5499999999999998</v>
      </c>
    </row>
    <row r="109" spans="1:48" x14ac:dyDescent="0.2">
      <c r="A109" t="s">
        <v>166</v>
      </c>
      <c r="B109">
        <v>1222462</v>
      </c>
      <c r="C109" s="1">
        <v>1600</v>
      </c>
      <c r="D109" s="1">
        <v>1186516</v>
      </c>
      <c r="E109" s="2" t="s">
        <v>167</v>
      </c>
      <c r="G109" s="1">
        <v>88195.4</v>
      </c>
      <c r="H109" s="1">
        <v>53067.5</v>
      </c>
      <c r="I109" s="1">
        <v>108323.2</v>
      </c>
      <c r="J109" s="1">
        <v>20550.849999999999</v>
      </c>
      <c r="K109" s="1">
        <v>82884.210000000006</v>
      </c>
      <c r="L109" s="1">
        <v>61002.51</v>
      </c>
      <c r="M109" s="1">
        <v>84588.9</v>
      </c>
      <c r="N109" s="1">
        <v>23510.21</v>
      </c>
      <c r="O109" s="1">
        <v>273882.26</v>
      </c>
      <c r="P109" s="1">
        <v>224857.59</v>
      </c>
      <c r="Q109" s="1">
        <v>96948.45</v>
      </c>
      <c r="R109" s="1">
        <v>18675.59</v>
      </c>
      <c r="S109" s="1">
        <v>273529.89</v>
      </c>
      <c r="T109" s="1">
        <v>220414.15</v>
      </c>
      <c r="U109" s="1">
        <v>59606.84</v>
      </c>
      <c r="V109" s="1">
        <v>11744.68</v>
      </c>
      <c r="AA109" s="1">
        <v>88195.4</v>
      </c>
      <c r="AB109" s="1">
        <v>53067.5</v>
      </c>
      <c r="AC109" s="1">
        <v>57582.48</v>
      </c>
      <c r="AD109" s="1">
        <v>10277.25</v>
      </c>
      <c r="AI109" s="1">
        <f t="shared" si="9"/>
        <v>51275.54019014693</v>
      </c>
      <c r="AJ109" s="1">
        <f t="shared" si="10"/>
        <v>40697.520000000004</v>
      </c>
      <c r="AK109" s="8">
        <f t="shared" si="11"/>
        <v>-0.20629758654750541</v>
      </c>
      <c r="AL109" s="9">
        <f t="shared" si="12"/>
        <v>208740.38666666663</v>
      </c>
      <c r="AM109" s="8">
        <f t="shared" si="13"/>
        <v>0.92701458844150308</v>
      </c>
      <c r="AN109" s="9">
        <f t="shared" si="14"/>
        <v>40560.36</v>
      </c>
      <c r="AO109" s="8">
        <f t="shared" si="15"/>
        <v>0.97365851047523599</v>
      </c>
      <c r="AP109" s="8">
        <f t="shared" si="16"/>
        <v>-0.20897254617721128</v>
      </c>
      <c r="AT109">
        <v>-16.8</v>
      </c>
      <c r="AU109">
        <v>0</v>
      </c>
      <c r="AV109">
        <v>0</v>
      </c>
    </row>
    <row r="110" spans="1:48" x14ac:dyDescent="0.2">
      <c r="A110" t="s">
        <v>601</v>
      </c>
      <c r="B110">
        <v>1103878</v>
      </c>
      <c r="C110" s="1">
        <v>191.9</v>
      </c>
      <c r="D110" s="1">
        <v>157422</v>
      </c>
      <c r="E110" s="2" t="s">
        <v>602</v>
      </c>
      <c r="G110" s="1">
        <v>829054.05</v>
      </c>
      <c r="H110" s="1">
        <v>373174.74</v>
      </c>
      <c r="I110" s="1">
        <v>841172.16</v>
      </c>
      <c r="J110" s="1">
        <v>15326.07</v>
      </c>
      <c r="K110" s="1">
        <v>873160.85</v>
      </c>
      <c r="L110" s="1">
        <v>386569.81</v>
      </c>
      <c r="M110" s="1">
        <v>935164.14</v>
      </c>
      <c r="N110" s="1">
        <v>224.65</v>
      </c>
      <c r="O110" s="1">
        <v>805520.8</v>
      </c>
      <c r="P110" s="1">
        <v>376284.32</v>
      </c>
      <c r="Q110" s="1">
        <v>201932.23</v>
      </c>
      <c r="R110" s="1">
        <v>15480.11</v>
      </c>
      <c r="S110" s="1">
        <v>816250.44</v>
      </c>
      <c r="T110" s="1">
        <v>363467.06</v>
      </c>
      <c r="U110" s="1">
        <v>186250.37</v>
      </c>
      <c r="V110" s="1">
        <v>-5786.46</v>
      </c>
      <c r="W110" s="1">
        <v>867632.46</v>
      </c>
      <c r="X110" s="1">
        <v>367621.79</v>
      </c>
      <c r="Y110" s="1">
        <v>212464.92</v>
      </c>
      <c r="Z110" s="1">
        <v>3080.78</v>
      </c>
      <c r="AA110" s="1">
        <v>829054.05</v>
      </c>
      <c r="AB110" s="1">
        <v>373174.74</v>
      </c>
      <c r="AC110" s="1">
        <v>205138.48</v>
      </c>
      <c r="AD110" s="1">
        <v>8891.17</v>
      </c>
      <c r="AE110" s="1">
        <v>872190.86</v>
      </c>
      <c r="AF110" s="1">
        <v>378242.12</v>
      </c>
      <c r="AG110" s="1">
        <v>238256.41</v>
      </c>
      <c r="AH110" s="1">
        <v>2985.58</v>
      </c>
      <c r="AI110" s="1">
        <f t="shared" si="9"/>
        <v>21653.645116918848</v>
      </c>
      <c r="AJ110" s="1">
        <f t="shared" si="10"/>
        <v>21665.600000000002</v>
      </c>
      <c r="AK110" s="8">
        <f t="shared" si="11"/>
        <v>5.5209564101588171E-4</v>
      </c>
      <c r="AL110" s="9">
        <f t="shared" si="12"/>
        <v>800863.36</v>
      </c>
      <c r="AM110" s="8">
        <f t="shared" si="13"/>
        <v>-4.7919798011384573E-2</v>
      </c>
      <c r="AN110" s="9">
        <f t="shared" si="14"/>
        <v>17032.573333333334</v>
      </c>
      <c r="AO110" s="8">
        <f t="shared" si="15"/>
        <v>0.11134643997667593</v>
      </c>
      <c r="AP110" s="8">
        <f t="shared" si="16"/>
        <v>-0.21340849351848334</v>
      </c>
      <c r="AT110">
        <v>-10.210000000000001</v>
      </c>
      <c r="AU110">
        <v>-4.62</v>
      </c>
      <c r="AV110">
        <v>-32.78</v>
      </c>
    </row>
    <row r="111" spans="1:48" x14ac:dyDescent="0.2">
      <c r="A111" t="s">
        <v>413</v>
      </c>
      <c r="B111">
        <v>1228808</v>
      </c>
      <c r="C111" s="1">
        <v>1253</v>
      </c>
      <c r="D111" s="1">
        <v>1212278</v>
      </c>
      <c r="E111" s="2" t="s">
        <v>414</v>
      </c>
      <c r="G111" s="1">
        <v>310071</v>
      </c>
      <c r="H111" s="1">
        <v>86415</v>
      </c>
      <c r="I111" s="1">
        <v>676199</v>
      </c>
      <c r="J111" s="1">
        <v>38515</v>
      </c>
      <c r="K111" s="1">
        <v>303898</v>
      </c>
      <c r="L111" s="1">
        <v>83305</v>
      </c>
      <c r="M111" s="1">
        <v>611500</v>
      </c>
      <c r="N111" s="1">
        <v>24547</v>
      </c>
      <c r="O111" s="1">
        <v>440151</v>
      </c>
      <c r="P111" s="1">
        <v>290080</v>
      </c>
      <c r="Q111" s="1">
        <v>184986</v>
      </c>
      <c r="R111" s="1">
        <v>11252</v>
      </c>
      <c r="S111" s="1">
        <v>373384</v>
      </c>
      <c r="T111" s="1">
        <v>73248</v>
      </c>
      <c r="U111" s="1">
        <v>191078</v>
      </c>
      <c r="V111" s="1">
        <v>11605</v>
      </c>
      <c r="W111" s="1">
        <v>325767</v>
      </c>
      <c r="X111" s="1">
        <v>96541</v>
      </c>
      <c r="Y111" s="1">
        <v>165986</v>
      </c>
      <c r="Z111" s="1">
        <v>10228</v>
      </c>
      <c r="AA111" s="1">
        <v>310071</v>
      </c>
      <c r="AB111" s="1">
        <v>86415</v>
      </c>
      <c r="AC111" s="1">
        <v>342731</v>
      </c>
      <c r="AD111" s="1">
        <v>23585</v>
      </c>
      <c r="AI111" s="1">
        <f t="shared" si="9"/>
        <v>56674.988312295463</v>
      </c>
      <c r="AJ111" s="1">
        <f t="shared" si="10"/>
        <v>56670</v>
      </c>
      <c r="AK111" s="8">
        <f t="shared" si="11"/>
        <v>-8.8016115115441274E-5</v>
      </c>
      <c r="AL111" s="9">
        <f t="shared" si="12"/>
        <v>722733.33333333337</v>
      </c>
      <c r="AM111" s="8">
        <f t="shared" si="13"/>
        <v>6.8817512793324598E-2</v>
      </c>
      <c r="AN111" s="9">
        <f t="shared" si="14"/>
        <v>44113.333333333336</v>
      </c>
      <c r="AO111" s="8">
        <f t="shared" si="15"/>
        <v>0.14535462373966856</v>
      </c>
      <c r="AP111" s="8">
        <f t="shared" si="16"/>
        <v>-0.22164371538541483</v>
      </c>
      <c r="AT111">
        <v>0</v>
      </c>
      <c r="AU111">
        <v>0</v>
      </c>
      <c r="AV111">
        <v>0</v>
      </c>
    </row>
    <row r="112" spans="1:48" x14ac:dyDescent="0.2">
      <c r="A112" t="s">
        <v>560</v>
      </c>
      <c r="B112">
        <v>730010</v>
      </c>
      <c r="C112" s="1">
        <v>1160</v>
      </c>
      <c r="D112" s="1">
        <v>755158</v>
      </c>
      <c r="E112" s="2" t="s">
        <v>561</v>
      </c>
      <c r="G112" s="1">
        <v>20710480</v>
      </c>
      <c r="H112" s="1">
        <v>592871</v>
      </c>
      <c r="I112" s="1">
        <v>5530908</v>
      </c>
      <c r="J112" s="1">
        <v>83882</v>
      </c>
      <c r="K112" s="1">
        <v>20547562</v>
      </c>
      <c r="L112" s="1">
        <v>594607</v>
      </c>
      <c r="M112" s="1">
        <v>4340241</v>
      </c>
      <c r="N112" s="1">
        <v>33549</v>
      </c>
      <c r="O112" s="1">
        <v>23650769</v>
      </c>
      <c r="P112" s="1">
        <v>687864</v>
      </c>
      <c r="Q112" s="1">
        <v>1591011</v>
      </c>
      <c r="R112" s="1">
        <v>32061</v>
      </c>
      <c r="S112" s="1">
        <v>21932604</v>
      </c>
      <c r="T112" s="1">
        <v>618825</v>
      </c>
      <c r="U112" s="1">
        <v>1532666</v>
      </c>
      <c r="V112" s="1">
        <v>22070</v>
      </c>
      <c r="W112" s="1">
        <v>21579394</v>
      </c>
      <c r="X112" s="1">
        <v>620462</v>
      </c>
      <c r="Y112" s="1">
        <v>1368634</v>
      </c>
      <c r="Z112" s="1">
        <v>9438</v>
      </c>
      <c r="AA112" s="1">
        <v>20710480</v>
      </c>
      <c r="AB112" s="1">
        <v>592871</v>
      </c>
      <c r="AC112" s="1">
        <v>1483583</v>
      </c>
      <c r="AD112" s="1">
        <v>47719</v>
      </c>
      <c r="AE112" s="1">
        <v>22318164</v>
      </c>
      <c r="AF112" s="1">
        <v>553529</v>
      </c>
      <c r="AG112" s="1">
        <v>1405021</v>
      </c>
      <c r="AH112" s="1">
        <v>9141</v>
      </c>
      <c r="AI112" s="1">
        <f t="shared" si="9"/>
        <v>111216.20029455081</v>
      </c>
      <c r="AJ112" s="1">
        <f t="shared" si="10"/>
        <v>111288</v>
      </c>
      <c r="AK112" s="8">
        <f t="shared" si="11"/>
        <v>6.455867513817104E-4</v>
      </c>
      <c r="AL112" s="9">
        <f t="shared" si="12"/>
        <v>5989748</v>
      </c>
      <c r="AM112" s="8">
        <f t="shared" si="13"/>
        <v>8.2959253706624603E-2</v>
      </c>
      <c r="AN112" s="9">
        <f t="shared" si="14"/>
        <v>84758.666666666672</v>
      </c>
      <c r="AO112" s="8">
        <f t="shared" si="15"/>
        <v>1.0451189369193203E-2</v>
      </c>
      <c r="AP112" s="8">
        <f t="shared" si="16"/>
        <v>-0.23789280300722937</v>
      </c>
      <c r="AT112">
        <v>-1.51</v>
      </c>
      <c r="AU112">
        <v>69.48</v>
      </c>
      <c r="AV112">
        <v>49.24</v>
      </c>
    </row>
    <row r="113" spans="1:48" x14ac:dyDescent="0.2">
      <c r="A113" t="s">
        <v>409</v>
      </c>
      <c r="B113">
        <v>1171669</v>
      </c>
      <c r="C113" s="1">
        <v>809.7</v>
      </c>
      <c r="D113" s="1">
        <v>213600</v>
      </c>
      <c r="E113" s="2" t="s">
        <v>410</v>
      </c>
      <c r="G113" s="1">
        <v>853939</v>
      </c>
      <c r="H113" s="1">
        <v>116049</v>
      </c>
      <c r="I113" s="1">
        <v>786102</v>
      </c>
      <c r="J113" s="1">
        <v>11405</v>
      </c>
      <c r="K113" s="1">
        <v>850876</v>
      </c>
      <c r="L113" s="1">
        <v>103926</v>
      </c>
      <c r="M113" s="1">
        <v>745209</v>
      </c>
      <c r="N113" s="1">
        <v>-44667</v>
      </c>
      <c r="O113" s="1">
        <v>792468</v>
      </c>
      <c r="P113" s="1">
        <v>120424</v>
      </c>
      <c r="Q113" s="1">
        <v>209858</v>
      </c>
      <c r="R113" s="1">
        <v>8729</v>
      </c>
      <c r="S113" s="1">
        <v>793587</v>
      </c>
      <c r="T113" s="1">
        <v>111563</v>
      </c>
      <c r="U113" s="1">
        <v>185422</v>
      </c>
      <c r="V113" s="1">
        <v>224</v>
      </c>
      <c r="W113" s="1">
        <v>827778</v>
      </c>
      <c r="X113" s="1">
        <v>111209</v>
      </c>
      <c r="Y113" s="1">
        <v>165551</v>
      </c>
      <c r="Z113" s="1">
        <v>-4974</v>
      </c>
      <c r="AA113" s="1">
        <v>853939</v>
      </c>
      <c r="AB113" s="1">
        <v>116049</v>
      </c>
      <c r="AC113" s="1">
        <v>200752</v>
      </c>
      <c r="AD113" s="1">
        <v>3188</v>
      </c>
      <c r="AE113" s="1">
        <v>858864</v>
      </c>
      <c r="AF113" s="1">
        <v>112338</v>
      </c>
      <c r="AG113" s="1">
        <v>205315</v>
      </c>
      <c r="AH113" s="1">
        <v>3141</v>
      </c>
      <c r="AI113" s="1">
        <f t="shared" si="9"/>
        <v>7049.5049504950493</v>
      </c>
      <c r="AJ113" s="1">
        <f t="shared" si="10"/>
        <v>7167</v>
      </c>
      <c r="AK113" s="8">
        <f t="shared" si="11"/>
        <v>1.666713483146065E-2</v>
      </c>
      <c r="AL113" s="9">
        <f t="shared" si="12"/>
        <v>747774.66666666663</v>
      </c>
      <c r="AM113" s="8">
        <f t="shared" si="13"/>
        <v>-4.875618346389321E-2</v>
      </c>
      <c r="AN113" s="9">
        <f t="shared" si="14"/>
        <v>5305.333333333333</v>
      </c>
      <c r="AO113" s="8">
        <f t="shared" si="15"/>
        <v>-0.53482390764284671</v>
      </c>
      <c r="AP113" s="8">
        <f t="shared" si="16"/>
        <v>-0.2474176029962547</v>
      </c>
      <c r="AT113">
        <v>-25.99</v>
      </c>
      <c r="AU113">
        <v>-24.82</v>
      </c>
      <c r="AV113">
        <v>-36.92</v>
      </c>
    </row>
    <row r="114" spans="1:48" x14ac:dyDescent="0.2">
      <c r="A114" t="s">
        <v>475</v>
      </c>
      <c r="B114">
        <v>1226877</v>
      </c>
      <c r="C114" s="1">
        <v>4881</v>
      </c>
      <c r="D114" s="1">
        <v>709361</v>
      </c>
      <c r="E114" s="2" t="s">
        <v>476</v>
      </c>
      <c r="G114" s="1">
        <v>944118</v>
      </c>
      <c r="H114" s="1">
        <v>668169</v>
      </c>
      <c r="I114" s="1">
        <v>52033</v>
      </c>
      <c r="J114" s="1">
        <v>40020</v>
      </c>
      <c r="K114" s="1">
        <v>918347</v>
      </c>
      <c r="L114" s="1">
        <v>628149</v>
      </c>
      <c r="M114" s="1">
        <v>49474</v>
      </c>
      <c r="N114" s="1">
        <v>77769</v>
      </c>
      <c r="O114" s="1">
        <v>1119301</v>
      </c>
      <c r="P114" s="1">
        <v>810427</v>
      </c>
      <c r="Q114" s="1">
        <v>13784</v>
      </c>
      <c r="R114" s="1">
        <v>7130</v>
      </c>
      <c r="S114" s="1">
        <v>942412</v>
      </c>
      <c r="T114" s="1">
        <v>683712</v>
      </c>
      <c r="U114" s="1">
        <v>13304</v>
      </c>
      <c r="V114" s="1">
        <v>7969</v>
      </c>
      <c r="W114" s="1">
        <v>942474</v>
      </c>
      <c r="X114" s="1">
        <v>675743</v>
      </c>
      <c r="Y114" s="1">
        <v>13263</v>
      </c>
      <c r="Z114" s="1">
        <v>7574</v>
      </c>
      <c r="AA114" s="1">
        <v>944118</v>
      </c>
      <c r="AB114" s="1">
        <v>668169</v>
      </c>
      <c r="AC114" s="1">
        <v>13272</v>
      </c>
      <c r="AD114" s="1">
        <v>18975</v>
      </c>
      <c r="AE114" s="1">
        <v>926998</v>
      </c>
      <c r="AF114" s="1">
        <v>649194</v>
      </c>
      <c r="AG114" s="1">
        <v>13075</v>
      </c>
      <c r="AH114" s="1">
        <v>7183</v>
      </c>
      <c r="AI114" s="1">
        <f t="shared" si="9"/>
        <v>40979.838243789723</v>
      </c>
      <c r="AJ114" s="1">
        <f t="shared" si="10"/>
        <v>41648</v>
      </c>
      <c r="AK114" s="8">
        <f t="shared" si="11"/>
        <v>1.6304646012397006E-2</v>
      </c>
      <c r="AL114" s="9">
        <f t="shared" si="12"/>
        <v>53801.333333333336</v>
      </c>
      <c r="AM114" s="8">
        <f t="shared" si="13"/>
        <v>3.3984842952229144E-2</v>
      </c>
      <c r="AN114" s="9">
        <f t="shared" si="14"/>
        <v>30230.666666666668</v>
      </c>
      <c r="AO114" s="8">
        <f t="shared" si="15"/>
        <v>-0.24461102781942357</v>
      </c>
      <c r="AP114" s="8">
        <f t="shared" si="16"/>
        <v>-0.26230390449996555</v>
      </c>
      <c r="AT114">
        <v>0</v>
      </c>
      <c r="AU114">
        <v>0</v>
      </c>
      <c r="AV114">
        <v>0</v>
      </c>
    </row>
    <row r="115" spans="1:48" x14ac:dyDescent="0.2">
      <c r="A115" t="s">
        <v>633</v>
      </c>
      <c r="B115">
        <v>249011</v>
      </c>
      <c r="C115" s="1">
        <v>275.8</v>
      </c>
      <c r="D115" s="1">
        <v>91198</v>
      </c>
      <c r="E115" s="2" t="s">
        <v>634</v>
      </c>
      <c r="G115" s="1">
        <v>147005</v>
      </c>
      <c r="H115" s="1">
        <v>91417</v>
      </c>
      <c r="I115" s="1">
        <v>171724</v>
      </c>
      <c r="J115" s="1">
        <v>13524</v>
      </c>
      <c r="K115" s="1">
        <v>130896</v>
      </c>
      <c r="L115" s="1">
        <v>77505</v>
      </c>
      <c r="M115" s="1">
        <v>150324</v>
      </c>
      <c r="N115" s="1">
        <v>-10511</v>
      </c>
      <c r="O115" s="1">
        <v>148912</v>
      </c>
      <c r="P115" s="1">
        <v>96109</v>
      </c>
      <c r="Q115" s="1">
        <v>40933</v>
      </c>
      <c r="R115" s="1">
        <v>4215</v>
      </c>
      <c r="S115" s="1">
        <v>144302</v>
      </c>
      <c r="T115" s="1">
        <v>91836</v>
      </c>
      <c r="U115" s="1">
        <v>39067</v>
      </c>
      <c r="V115" s="1">
        <v>3001</v>
      </c>
      <c r="W115" s="1">
        <v>146792</v>
      </c>
      <c r="X115" s="1">
        <v>88780</v>
      </c>
      <c r="Y115" s="1">
        <v>39021</v>
      </c>
      <c r="Z115" s="1">
        <v>1262</v>
      </c>
      <c r="AA115" s="1">
        <v>147005</v>
      </c>
      <c r="AB115" s="1">
        <v>91417</v>
      </c>
      <c r="AC115" s="1">
        <v>44168</v>
      </c>
      <c r="AD115" s="1">
        <v>6904</v>
      </c>
      <c r="AE115" s="1">
        <v>136292</v>
      </c>
      <c r="AF115" s="1">
        <v>84424</v>
      </c>
      <c r="AG115" s="1">
        <v>42593</v>
      </c>
      <c r="AH115" s="1">
        <v>2342</v>
      </c>
      <c r="AI115" s="1">
        <f t="shared" si="9"/>
        <v>15379.089376053964</v>
      </c>
      <c r="AJ115" s="1">
        <f t="shared" si="10"/>
        <v>15382</v>
      </c>
      <c r="AK115" s="8">
        <f t="shared" si="11"/>
        <v>1.8925853637141721E-4</v>
      </c>
      <c r="AL115" s="9">
        <f t="shared" si="12"/>
        <v>158694.66666666666</v>
      </c>
      <c r="AM115" s="8">
        <f t="shared" si="13"/>
        <v>-7.5873688787434168E-2</v>
      </c>
      <c r="AN115" s="9">
        <f t="shared" si="14"/>
        <v>11304</v>
      </c>
      <c r="AO115" s="8">
        <f t="shared" si="15"/>
        <v>-0.16415261756876665</v>
      </c>
      <c r="AP115" s="8">
        <f t="shared" si="16"/>
        <v>-0.26497598631548946</v>
      </c>
      <c r="AT115">
        <v>-7.59</v>
      </c>
      <c r="AU115">
        <v>-4.37</v>
      </c>
      <c r="AV115">
        <v>17.55</v>
      </c>
    </row>
    <row r="116" spans="1:48" x14ac:dyDescent="0.2">
      <c r="A116" t="s">
        <v>628</v>
      </c>
      <c r="B116">
        <v>1207968</v>
      </c>
      <c r="C116" s="1">
        <v>991.6</v>
      </c>
      <c r="D116" s="1">
        <v>500451</v>
      </c>
      <c r="E116" s="2" t="s">
        <v>629</v>
      </c>
      <c r="G116" s="1">
        <v>1240182</v>
      </c>
      <c r="H116" s="1">
        <v>320102</v>
      </c>
      <c r="I116" s="1">
        <v>443718</v>
      </c>
      <c r="J116" s="1">
        <v>14604</v>
      </c>
      <c r="K116" s="1">
        <v>1067396</v>
      </c>
      <c r="L116" s="1">
        <v>317340</v>
      </c>
      <c r="M116" s="1">
        <v>330026</v>
      </c>
      <c r="N116" s="1">
        <v>103045</v>
      </c>
      <c r="O116" s="1">
        <v>1386534</v>
      </c>
      <c r="P116" s="1">
        <v>402846</v>
      </c>
      <c r="Q116" s="1">
        <v>132137</v>
      </c>
      <c r="R116" s="1">
        <v>3082</v>
      </c>
      <c r="S116" s="1">
        <v>1345671</v>
      </c>
      <c r="T116" s="1">
        <v>399506</v>
      </c>
      <c r="U116" s="1">
        <v>124627</v>
      </c>
      <c r="V116" s="1">
        <v>1653</v>
      </c>
      <c r="W116" s="1">
        <v>1345682</v>
      </c>
      <c r="X116" s="1">
        <v>397594</v>
      </c>
      <c r="Y116" s="1">
        <v>128319</v>
      </c>
      <c r="Z116" s="1">
        <v>6038</v>
      </c>
      <c r="AA116" s="1">
        <v>1240182</v>
      </c>
      <c r="AB116" s="1">
        <v>320102</v>
      </c>
      <c r="AC116" s="1">
        <v>177560</v>
      </c>
      <c r="AD116" s="1">
        <v>10492</v>
      </c>
      <c r="AE116" s="1">
        <v>1200069</v>
      </c>
      <c r="AF116" s="1">
        <v>309714</v>
      </c>
      <c r="AG116" s="1">
        <v>64114</v>
      </c>
      <c r="AH116" s="1">
        <v>-2235</v>
      </c>
      <c r="AI116" s="1">
        <f t="shared" si="9"/>
        <v>20637.154639175256</v>
      </c>
      <c r="AJ116" s="1">
        <f t="shared" si="10"/>
        <v>21265</v>
      </c>
      <c r="AK116" s="8">
        <f t="shared" si="11"/>
        <v>3.0423058401322089E-2</v>
      </c>
      <c r="AL116" s="9">
        <f t="shared" si="12"/>
        <v>513444</v>
      </c>
      <c r="AM116" s="8">
        <f t="shared" si="13"/>
        <v>0.15714034589536596</v>
      </c>
      <c r="AN116" s="9">
        <f t="shared" si="14"/>
        <v>14364</v>
      </c>
      <c r="AO116" s="8">
        <f t="shared" si="15"/>
        <v>-1.6433853738701765E-2</v>
      </c>
      <c r="AP116" s="8">
        <f t="shared" si="16"/>
        <v>-0.30397381561831227</v>
      </c>
      <c r="AT116">
        <v>1.61</v>
      </c>
      <c r="AU116">
        <v>0</v>
      </c>
      <c r="AV116">
        <v>0</v>
      </c>
    </row>
    <row r="117" spans="1:48" x14ac:dyDescent="0.2">
      <c r="A117" t="s">
        <v>55</v>
      </c>
      <c r="B117">
        <v>1082965</v>
      </c>
      <c r="C117" s="1">
        <v>2845</v>
      </c>
      <c r="D117" s="1">
        <v>807077</v>
      </c>
      <c r="E117" s="2" t="s">
        <v>56</v>
      </c>
      <c r="G117" s="1">
        <v>1225030.97</v>
      </c>
      <c r="H117" s="1">
        <v>699545.67</v>
      </c>
      <c r="I117" s="1">
        <v>883215.89</v>
      </c>
      <c r="J117" s="1">
        <v>55839.22</v>
      </c>
      <c r="K117" s="1">
        <v>1224174.19</v>
      </c>
      <c r="L117" s="1">
        <v>682282.24</v>
      </c>
      <c r="M117" s="1">
        <v>886377.16</v>
      </c>
      <c r="N117" s="1">
        <v>31845.06</v>
      </c>
      <c r="O117" s="1">
        <v>1096944.02</v>
      </c>
      <c r="P117" s="1">
        <v>574384.43999999994</v>
      </c>
      <c r="Q117" s="1">
        <v>203474.38</v>
      </c>
      <c r="R117" s="1">
        <v>9031.99</v>
      </c>
      <c r="S117" s="1">
        <v>1145913.5</v>
      </c>
      <c r="T117" s="1">
        <v>634188.9</v>
      </c>
      <c r="U117" s="1">
        <v>205955.01</v>
      </c>
      <c r="V117" s="1">
        <v>1031.83</v>
      </c>
      <c r="W117" s="1">
        <v>1228706.03</v>
      </c>
      <c r="X117" s="1">
        <v>691191.06</v>
      </c>
      <c r="Y117" s="1">
        <v>224470.53</v>
      </c>
      <c r="Z117" s="1">
        <v>14931.49</v>
      </c>
      <c r="AA117" s="1">
        <v>1225030.97</v>
      </c>
      <c r="AB117" s="1">
        <v>699545.67</v>
      </c>
      <c r="AC117" s="1">
        <v>224487.44</v>
      </c>
      <c r="AD117" s="1">
        <v>24708.43</v>
      </c>
      <c r="AE117" s="1">
        <v>1211066.44</v>
      </c>
      <c r="AF117" s="1">
        <v>693376.75</v>
      </c>
      <c r="AG117" s="1">
        <v>223501.53</v>
      </c>
      <c r="AH117" s="1">
        <v>9939.09</v>
      </c>
      <c r="AI117" s="1">
        <f t="shared" si="9"/>
        <v>49696.859605911333</v>
      </c>
      <c r="AJ117" s="1">
        <f t="shared" si="10"/>
        <v>49703.74</v>
      </c>
      <c r="AK117" s="8">
        <f t="shared" si="11"/>
        <v>1.3844726091805093E-4</v>
      </c>
      <c r="AL117" s="9">
        <f t="shared" si="12"/>
        <v>845199.89333333343</v>
      </c>
      <c r="AM117" s="8">
        <f t="shared" si="13"/>
        <v>-4.3042700088498864E-2</v>
      </c>
      <c r="AN117" s="9">
        <f t="shared" si="14"/>
        <v>33327.079999999994</v>
      </c>
      <c r="AO117" s="8">
        <f t="shared" si="15"/>
        <v>-0.40316000116047479</v>
      </c>
      <c r="AP117" s="8">
        <f t="shared" si="16"/>
        <v>-0.32939263639033223</v>
      </c>
      <c r="AT117">
        <v>-7.24</v>
      </c>
      <c r="AU117">
        <v>-11.66</v>
      </c>
      <c r="AV117">
        <v>-53.09</v>
      </c>
    </row>
    <row r="118" spans="1:48" x14ac:dyDescent="0.2">
      <c r="A118" t="s">
        <v>235</v>
      </c>
      <c r="B118">
        <v>1096148</v>
      </c>
      <c r="C118" s="1">
        <v>730.6</v>
      </c>
      <c r="D118" s="1">
        <v>323504</v>
      </c>
      <c r="E118" s="2" t="s">
        <v>236</v>
      </c>
      <c r="G118" s="1">
        <v>888383</v>
      </c>
      <c r="H118" s="1">
        <v>221112</v>
      </c>
      <c r="I118" s="1">
        <v>871493</v>
      </c>
      <c r="J118" s="1">
        <v>64870</v>
      </c>
      <c r="K118" s="1">
        <v>814153</v>
      </c>
      <c r="L118" s="1">
        <v>156299</v>
      </c>
      <c r="M118" s="1">
        <v>852161</v>
      </c>
      <c r="N118" s="1">
        <v>-44782</v>
      </c>
      <c r="O118" s="1">
        <v>1067389</v>
      </c>
      <c r="P118" s="1">
        <v>202625</v>
      </c>
      <c r="Q118" s="1">
        <v>216558</v>
      </c>
      <c r="R118" s="1">
        <v>8622</v>
      </c>
      <c r="S118" s="1">
        <v>1061544</v>
      </c>
      <c r="T118" s="1">
        <v>203966</v>
      </c>
      <c r="U118" s="1">
        <v>221872</v>
      </c>
      <c r="V118" s="1">
        <v>5571</v>
      </c>
      <c r="W118" s="1">
        <v>1076669</v>
      </c>
      <c r="X118" s="1">
        <v>207245</v>
      </c>
      <c r="Y118" s="1">
        <v>230200</v>
      </c>
      <c r="Z118" s="1">
        <v>6253</v>
      </c>
      <c r="AA118" s="1">
        <v>888383</v>
      </c>
      <c r="AB118" s="1">
        <v>221112</v>
      </c>
      <c r="AC118" s="1">
        <v>251778</v>
      </c>
      <c r="AD118" s="1">
        <v>21355</v>
      </c>
      <c r="AE118" s="1">
        <v>876029</v>
      </c>
      <c r="AF118" s="1">
        <v>199636</v>
      </c>
      <c r="AG118" s="1">
        <v>198820</v>
      </c>
      <c r="AH118" s="1">
        <v>11508</v>
      </c>
      <c r="AI118" s="1">
        <f t="shared" si="9"/>
        <v>43307.095046854083</v>
      </c>
      <c r="AJ118" s="1">
        <f t="shared" si="10"/>
        <v>41801</v>
      </c>
      <c r="AK118" s="8">
        <f t="shared" si="11"/>
        <v>-3.477709703744003E-2</v>
      </c>
      <c r="AL118" s="9">
        <f t="shared" si="12"/>
        <v>891506.66666666663</v>
      </c>
      <c r="AM118" s="8">
        <f t="shared" si="13"/>
        <v>2.2964804842570796E-2</v>
      </c>
      <c r="AN118" s="9">
        <f t="shared" si="14"/>
        <v>27261.333333333332</v>
      </c>
      <c r="AO118" s="8">
        <f t="shared" si="15"/>
        <v>-0.57975438055598372</v>
      </c>
      <c r="AP118" s="8">
        <f t="shared" si="16"/>
        <v>-0.37051115287600778</v>
      </c>
      <c r="AT118">
        <v>-3.36</v>
      </c>
      <c r="AU118">
        <v>31.77</v>
      </c>
      <c r="AV118">
        <v>29.81</v>
      </c>
    </row>
    <row r="119" spans="1:48" x14ac:dyDescent="0.2">
      <c r="A119" t="s">
        <v>583</v>
      </c>
      <c r="B119">
        <v>280016</v>
      </c>
      <c r="C119" s="1">
        <v>15830</v>
      </c>
      <c r="D119" s="1">
        <v>1356336</v>
      </c>
      <c r="E119" s="2" t="s">
        <v>584</v>
      </c>
      <c r="G119" s="1">
        <v>2301572</v>
      </c>
      <c r="H119" s="1">
        <v>669530</v>
      </c>
      <c r="I119" s="1">
        <v>2084055</v>
      </c>
      <c r="J119" s="1">
        <v>135402</v>
      </c>
      <c r="K119" s="1">
        <v>2152403</v>
      </c>
      <c r="L119" s="1">
        <v>595484</v>
      </c>
      <c r="M119" s="1">
        <v>1764529</v>
      </c>
      <c r="N119" s="1">
        <v>42522</v>
      </c>
      <c r="O119" s="1">
        <v>2655764</v>
      </c>
      <c r="P119" s="1">
        <v>725260</v>
      </c>
      <c r="Q119" s="1">
        <v>565486</v>
      </c>
      <c r="R119" s="1">
        <v>24760</v>
      </c>
      <c r="S119" s="1">
        <v>2695755</v>
      </c>
      <c r="T119" s="1">
        <v>900727</v>
      </c>
      <c r="U119" s="1">
        <v>504068</v>
      </c>
      <c r="V119" s="1">
        <v>22273</v>
      </c>
      <c r="W119" s="1">
        <v>2300437</v>
      </c>
      <c r="X119" s="1">
        <v>700823</v>
      </c>
      <c r="Y119" s="1">
        <v>470570</v>
      </c>
      <c r="Z119" s="1">
        <v>1424</v>
      </c>
      <c r="AA119" s="1">
        <v>2301572</v>
      </c>
      <c r="AB119" s="1">
        <v>669530</v>
      </c>
      <c r="AC119" s="1">
        <v>604182</v>
      </c>
      <c r="AD119" s="1">
        <v>58030</v>
      </c>
      <c r="AE119" s="1">
        <v>2225156</v>
      </c>
      <c r="AF119" s="1">
        <v>673483</v>
      </c>
      <c r="AG119" s="1">
        <v>507600</v>
      </c>
      <c r="AH119" s="1">
        <v>16653</v>
      </c>
      <c r="AI119" s="1">
        <f t="shared" si="9"/>
        <v>106462.79434850863</v>
      </c>
      <c r="AJ119" s="1">
        <f t="shared" si="10"/>
        <v>106487</v>
      </c>
      <c r="AK119" s="8">
        <f t="shared" si="11"/>
        <v>2.2736254143529422E-4</v>
      </c>
      <c r="AL119" s="9">
        <f t="shared" si="12"/>
        <v>2053498.6666666667</v>
      </c>
      <c r="AM119" s="8">
        <f t="shared" si="13"/>
        <v>-1.4661961096676057E-2</v>
      </c>
      <c r="AN119" s="9">
        <f t="shared" si="14"/>
        <v>64609.333333333336</v>
      </c>
      <c r="AO119" s="8">
        <f t="shared" si="15"/>
        <v>-0.52283324224654482</v>
      </c>
      <c r="AP119" s="8">
        <f t="shared" si="16"/>
        <v>-0.39312758293913397</v>
      </c>
      <c r="AT119">
        <v>23.64</v>
      </c>
      <c r="AU119">
        <v>113.49</v>
      </c>
      <c r="AV119">
        <v>126.97</v>
      </c>
    </row>
    <row r="120" spans="1:48" x14ac:dyDescent="0.2">
      <c r="A120" t="s">
        <v>136</v>
      </c>
      <c r="B120">
        <v>382010</v>
      </c>
      <c r="C120" s="1">
        <v>889.9</v>
      </c>
      <c r="D120" s="1">
        <v>394397</v>
      </c>
      <c r="E120" s="2" t="s">
        <v>137</v>
      </c>
      <c r="G120" s="1">
        <v>926257</v>
      </c>
      <c r="H120" s="1">
        <v>161537</v>
      </c>
      <c r="I120" s="1">
        <v>1452991</v>
      </c>
      <c r="J120" s="1">
        <v>25498</v>
      </c>
      <c r="K120" s="1">
        <v>876286</v>
      </c>
      <c r="L120" s="1">
        <v>150549</v>
      </c>
      <c r="M120" s="1">
        <v>1357381</v>
      </c>
      <c r="N120" s="1">
        <v>22292</v>
      </c>
      <c r="O120" s="1">
        <v>855903</v>
      </c>
      <c r="P120" s="1">
        <v>159783</v>
      </c>
      <c r="Q120" s="1">
        <v>329786</v>
      </c>
      <c r="R120" s="1">
        <v>788</v>
      </c>
      <c r="S120" s="1">
        <v>845438</v>
      </c>
      <c r="T120" s="1">
        <v>160367</v>
      </c>
      <c r="U120" s="1">
        <v>335085</v>
      </c>
      <c r="V120" s="1">
        <v>1896</v>
      </c>
      <c r="W120" s="1">
        <v>899881</v>
      </c>
      <c r="X120" s="1">
        <v>164921</v>
      </c>
      <c r="Y120" s="1">
        <v>381406</v>
      </c>
      <c r="Z120" s="1">
        <v>7304</v>
      </c>
      <c r="AA120" s="1">
        <v>926257</v>
      </c>
      <c r="AB120" s="1">
        <v>161537</v>
      </c>
      <c r="AC120" s="1">
        <v>420369</v>
      </c>
      <c r="AD120" s="1">
        <v>12236</v>
      </c>
      <c r="AE120" s="1">
        <v>832605</v>
      </c>
      <c r="AF120" s="1">
        <v>151244</v>
      </c>
      <c r="AG120" s="1">
        <v>345659</v>
      </c>
      <c r="AH120" s="1">
        <v>4078</v>
      </c>
      <c r="AI120" s="1">
        <f t="shared" si="9"/>
        <v>21971.977715877438</v>
      </c>
      <c r="AJ120" s="1">
        <f t="shared" si="10"/>
        <v>22224</v>
      </c>
      <c r="AK120" s="8">
        <f t="shared" si="11"/>
        <v>1.1470168383633794E-2</v>
      </c>
      <c r="AL120" s="9">
        <f t="shared" si="12"/>
        <v>1395036</v>
      </c>
      <c r="AM120" s="8">
        <f t="shared" si="13"/>
        <v>-3.9886688905850121E-2</v>
      </c>
      <c r="AN120" s="9">
        <f t="shared" si="14"/>
        <v>13317.333333333334</v>
      </c>
      <c r="AO120" s="8">
        <f t="shared" si="15"/>
        <v>-0.47771067011791768</v>
      </c>
      <c r="AP120" s="8">
        <f t="shared" si="16"/>
        <v>-0.39389464591938239</v>
      </c>
      <c r="AT120">
        <v>0.39</v>
      </c>
      <c r="AU120">
        <v>1.03</v>
      </c>
      <c r="AV120">
        <v>4.66</v>
      </c>
    </row>
    <row r="121" spans="1:48" x14ac:dyDescent="0.2">
      <c r="A121" t="s">
        <v>85</v>
      </c>
      <c r="B121">
        <v>431015</v>
      </c>
      <c r="C121" s="1">
        <v>33320</v>
      </c>
      <c r="D121" s="1">
        <v>1839316</v>
      </c>
      <c r="E121" s="2" t="s">
        <v>86</v>
      </c>
      <c r="G121" s="1">
        <v>1971769</v>
      </c>
      <c r="H121" s="1">
        <v>1633656</v>
      </c>
      <c r="I121" s="1">
        <v>55182</v>
      </c>
      <c r="J121" s="1">
        <v>153832</v>
      </c>
      <c r="K121" s="1">
        <v>1812117</v>
      </c>
      <c r="L121" s="1">
        <v>1502990</v>
      </c>
      <c r="M121" s="1">
        <v>51963</v>
      </c>
      <c r="N121" s="1">
        <v>65715</v>
      </c>
      <c r="O121" s="1">
        <v>2004240</v>
      </c>
      <c r="P121" s="1">
        <v>1671893</v>
      </c>
      <c r="Q121" s="1">
        <v>16021</v>
      </c>
      <c r="R121" s="1">
        <v>25387</v>
      </c>
      <c r="S121" s="1">
        <v>1976658</v>
      </c>
      <c r="T121" s="1">
        <v>1647957</v>
      </c>
      <c r="U121" s="1">
        <v>15417</v>
      </c>
      <c r="V121" s="1">
        <v>35775</v>
      </c>
      <c r="W121" s="1">
        <v>1975001</v>
      </c>
      <c r="X121" s="1">
        <v>1645723</v>
      </c>
      <c r="Y121" s="1">
        <v>15182</v>
      </c>
      <c r="Z121" s="1">
        <v>15038</v>
      </c>
      <c r="AA121" s="1">
        <v>1971769</v>
      </c>
      <c r="AB121" s="1">
        <v>1633656</v>
      </c>
      <c r="AC121" s="1">
        <v>15064</v>
      </c>
      <c r="AD121" s="1">
        <v>89362</v>
      </c>
      <c r="AE121" s="1">
        <v>1865701</v>
      </c>
      <c r="AF121" s="1">
        <v>1549761</v>
      </c>
      <c r="AG121" s="1">
        <v>14363</v>
      </c>
      <c r="AH121" s="1">
        <v>38578</v>
      </c>
      <c r="AI121" s="1">
        <f t="shared" si="9"/>
        <v>169366.11418047882</v>
      </c>
      <c r="AJ121" s="1">
        <f t="shared" si="10"/>
        <v>165562</v>
      </c>
      <c r="AK121" s="8">
        <f t="shared" si="11"/>
        <v>-2.246089307111987E-2</v>
      </c>
      <c r="AL121" s="9">
        <f t="shared" si="12"/>
        <v>62160</v>
      </c>
      <c r="AM121" s="8">
        <f t="shared" si="13"/>
        <v>0.12645427856909852</v>
      </c>
      <c r="AN121" s="9">
        <f t="shared" si="14"/>
        <v>101600</v>
      </c>
      <c r="AO121" s="8">
        <f t="shared" si="15"/>
        <v>-0.33953923760986016</v>
      </c>
      <c r="AP121" s="8">
        <f t="shared" si="16"/>
        <v>-0.40011613012663405</v>
      </c>
      <c r="AT121">
        <v>15.91</v>
      </c>
      <c r="AU121">
        <v>38.299999999999997</v>
      </c>
      <c r="AV121">
        <v>29.35</v>
      </c>
    </row>
    <row r="122" spans="1:48" x14ac:dyDescent="0.2">
      <c r="A122" t="s">
        <v>397</v>
      </c>
      <c r="B122">
        <v>1131523</v>
      </c>
      <c r="C122" s="1">
        <v>1440</v>
      </c>
      <c r="D122" s="1">
        <v>2175466</v>
      </c>
      <c r="E122" s="2" t="s">
        <v>398</v>
      </c>
      <c r="G122" s="1">
        <v>6175202</v>
      </c>
      <c r="H122" s="1">
        <v>1487278</v>
      </c>
      <c r="I122" s="1">
        <v>252187</v>
      </c>
      <c r="J122" s="1">
        <v>267105</v>
      </c>
      <c r="K122" s="1">
        <v>5691750</v>
      </c>
      <c r="L122" s="1">
        <v>1299600</v>
      </c>
      <c r="M122" s="1">
        <v>240790</v>
      </c>
      <c r="N122" s="1">
        <v>220579</v>
      </c>
      <c r="O122" s="1">
        <v>7061625</v>
      </c>
      <c r="P122" s="1">
        <v>1514496</v>
      </c>
      <c r="Q122" s="1">
        <v>70246</v>
      </c>
      <c r="R122" s="1">
        <v>10756</v>
      </c>
      <c r="S122" s="1">
        <v>6597792</v>
      </c>
      <c r="T122" s="1">
        <v>1503732</v>
      </c>
      <c r="U122" s="1">
        <v>68231</v>
      </c>
      <c r="V122" s="1">
        <v>91780</v>
      </c>
      <c r="W122" s="1">
        <v>6221824</v>
      </c>
      <c r="X122" s="1">
        <v>1411938</v>
      </c>
      <c r="Y122" s="1">
        <v>66395</v>
      </c>
      <c r="Z122" s="1">
        <v>24412</v>
      </c>
      <c r="AA122" s="1">
        <v>6175202</v>
      </c>
      <c r="AB122" s="1">
        <v>1487278</v>
      </c>
      <c r="AC122" s="1">
        <v>65925</v>
      </c>
      <c r="AD122" s="1">
        <v>183990</v>
      </c>
      <c r="AE122" s="1">
        <v>5903525</v>
      </c>
      <c r="AF122" s="1">
        <v>1303258</v>
      </c>
      <c r="AG122" s="1">
        <v>63457</v>
      </c>
      <c r="AH122" s="1">
        <v>1528</v>
      </c>
      <c r="AI122" s="1">
        <f t="shared" si="9"/>
        <v>310780.85714285716</v>
      </c>
      <c r="AJ122" s="1">
        <f t="shared" si="10"/>
        <v>310938</v>
      </c>
      <c r="AK122" s="8">
        <f t="shared" si="11"/>
        <v>5.0563879187248695E-4</v>
      </c>
      <c r="AL122" s="9">
        <f t="shared" si="12"/>
        <v>273162.66666666669</v>
      </c>
      <c r="AM122" s="8">
        <f t="shared" si="13"/>
        <v>8.3175051317739168E-2</v>
      </c>
      <c r="AN122" s="9">
        <f t="shared" si="14"/>
        <v>169264</v>
      </c>
      <c r="AO122" s="8">
        <f t="shared" si="15"/>
        <v>-0.36630164167649426</v>
      </c>
      <c r="AP122" s="8">
        <f t="shared" si="16"/>
        <v>-0.45535898975208078</v>
      </c>
      <c r="AT122">
        <v>14.95</v>
      </c>
      <c r="AU122">
        <v>54.88</v>
      </c>
      <c r="AV122">
        <v>81.17</v>
      </c>
    </row>
    <row r="123" spans="1:48" x14ac:dyDescent="0.2">
      <c r="A123" t="s">
        <v>65</v>
      </c>
      <c r="B123">
        <v>1220755</v>
      </c>
      <c r="C123" s="1">
        <v>951.2</v>
      </c>
      <c r="D123" s="1">
        <v>1343389</v>
      </c>
      <c r="E123" s="2" t="s">
        <v>66</v>
      </c>
      <c r="G123" s="1">
        <v>990594</v>
      </c>
      <c r="H123" s="1">
        <v>331935</v>
      </c>
      <c r="I123" s="1">
        <v>952357</v>
      </c>
      <c r="J123" s="1">
        <v>110392</v>
      </c>
      <c r="K123" s="1">
        <v>517517</v>
      </c>
      <c r="L123" s="1">
        <v>161385</v>
      </c>
      <c r="M123" s="1">
        <v>459802</v>
      </c>
      <c r="N123" s="1">
        <v>26907</v>
      </c>
      <c r="O123" s="1">
        <v>1246036</v>
      </c>
      <c r="P123" s="1">
        <v>570993</v>
      </c>
      <c r="Q123" s="1">
        <v>242473</v>
      </c>
      <c r="R123" s="1">
        <v>8596</v>
      </c>
      <c r="S123" s="1">
        <v>1186507</v>
      </c>
      <c r="T123" s="1">
        <v>562120</v>
      </c>
      <c r="U123" s="1">
        <v>227502</v>
      </c>
      <c r="V123" s="1">
        <v>18029</v>
      </c>
      <c r="W123" s="1">
        <v>979104</v>
      </c>
      <c r="X123" s="1">
        <v>343947</v>
      </c>
      <c r="Y123" s="1">
        <v>219693</v>
      </c>
      <c r="Z123" s="1">
        <v>11743</v>
      </c>
      <c r="AA123" s="1">
        <v>990594</v>
      </c>
      <c r="AB123" s="1">
        <v>331935</v>
      </c>
      <c r="AC123" s="1">
        <v>303018</v>
      </c>
      <c r="AD123" s="1">
        <v>50281</v>
      </c>
      <c r="AE123" s="1">
        <v>885995</v>
      </c>
      <c r="AF123" s="1">
        <v>306915</v>
      </c>
      <c r="AG123" s="1">
        <v>217437</v>
      </c>
      <c r="AH123" s="1">
        <v>16302</v>
      </c>
      <c r="AI123" s="1">
        <f t="shared" si="9"/>
        <v>97065.679190751442</v>
      </c>
      <c r="AJ123" s="1">
        <f t="shared" si="10"/>
        <v>88649</v>
      </c>
      <c r="AK123" s="8">
        <f t="shared" si="11"/>
        <v>-8.6711175988488765E-2</v>
      </c>
      <c r="AL123" s="9">
        <f t="shared" si="12"/>
        <v>919557.33333333337</v>
      </c>
      <c r="AM123" s="8">
        <f t="shared" si="13"/>
        <v>-3.4440516178981806E-2</v>
      </c>
      <c r="AN123" s="9">
        <f t="shared" si="14"/>
        <v>51157.333333333336</v>
      </c>
      <c r="AO123" s="8">
        <f t="shared" si="15"/>
        <v>-0.53658477667463822</v>
      </c>
      <c r="AP123" s="8">
        <f t="shared" si="16"/>
        <v>-0.47296167131535738</v>
      </c>
      <c r="AT123">
        <v>-14.1</v>
      </c>
      <c r="AU123">
        <v>0</v>
      </c>
      <c r="AV123">
        <v>0</v>
      </c>
    </row>
    <row r="124" spans="1:48" x14ac:dyDescent="0.2">
      <c r="A124" t="s">
        <v>590</v>
      </c>
      <c r="B124">
        <v>1118447</v>
      </c>
      <c r="C124" s="1">
        <v>618.5</v>
      </c>
      <c r="D124" s="1">
        <v>1155419</v>
      </c>
      <c r="E124" s="2" t="s">
        <v>591</v>
      </c>
      <c r="G124" s="1">
        <v>1814377</v>
      </c>
      <c r="H124" s="1">
        <v>755309</v>
      </c>
      <c r="I124" s="1">
        <v>537318</v>
      </c>
      <c r="J124" s="1">
        <v>49616</v>
      </c>
      <c r="K124" s="1">
        <v>1732339</v>
      </c>
      <c r="L124" s="1">
        <v>732596</v>
      </c>
      <c r="M124" s="1">
        <v>604478</v>
      </c>
      <c r="N124" s="1">
        <v>70452</v>
      </c>
      <c r="O124" s="1">
        <v>2032144</v>
      </c>
      <c r="P124" s="1">
        <v>734141</v>
      </c>
      <c r="Q124" s="1">
        <v>116558</v>
      </c>
      <c r="R124" s="1">
        <v>314</v>
      </c>
      <c r="S124" s="1">
        <v>1991569</v>
      </c>
      <c r="T124" s="1">
        <v>733313</v>
      </c>
      <c r="U124" s="1">
        <v>117849</v>
      </c>
      <c r="V124" s="1">
        <v>2782</v>
      </c>
      <c r="W124" s="1">
        <v>1949472</v>
      </c>
      <c r="X124" s="1">
        <v>730079</v>
      </c>
      <c r="Y124" s="1">
        <v>119941</v>
      </c>
      <c r="Z124" s="1">
        <v>7109</v>
      </c>
      <c r="AA124" s="1">
        <v>1814377</v>
      </c>
      <c r="AB124" s="1">
        <v>755309</v>
      </c>
      <c r="AC124" s="1">
        <v>133064</v>
      </c>
      <c r="AD124" s="1">
        <v>17420</v>
      </c>
      <c r="AE124" s="1">
        <v>1815544</v>
      </c>
      <c r="AF124" s="1">
        <v>737059</v>
      </c>
      <c r="AG124" s="1">
        <v>143837</v>
      </c>
      <c r="AH124" s="1">
        <v>11635</v>
      </c>
      <c r="AI124" s="1">
        <f t="shared" si="9"/>
        <v>27509.976190476191</v>
      </c>
      <c r="AJ124" s="1">
        <f t="shared" si="10"/>
        <v>27625</v>
      </c>
      <c r="AK124" s="8">
        <f t="shared" si="11"/>
        <v>4.1811671783136273E-3</v>
      </c>
      <c r="AL124" s="9">
        <f t="shared" si="12"/>
        <v>472464</v>
      </c>
      <c r="AM124" s="8">
        <f t="shared" si="13"/>
        <v>-0.12069947405447057</v>
      </c>
      <c r="AN124" s="9">
        <f t="shared" si="14"/>
        <v>13606.666666666666</v>
      </c>
      <c r="AO124" s="8">
        <f t="shared" si="15"/>
        <v>-0.72576050736321618</v>
      </c>
      <c r="AP124" s="8">
        <f t="shared" si="16"/>
        <v>-0.50539155059766205</v>
      </c>
      <c r="AT124">
        <v>6.08</v>
      </c>
      <c r="AU124">
        <v>21.2</v>
      </c>
      <c r="AV124">
        <v>97.59</v>
      </c>
    </row>
    <row r="125" spans="1:48" x14ac:dyDescent="0.2">
      <c r="A125" t="s">
        <v>285</v>
      </c>
      <c r="B125">
        <v>612010</v>
      </c>
      <c r="C125" s="1">
        <v>3500</v>
      </c>
      <c r="D125" s="1">
        <v>1416091</v>
      </c>
      <c r="E125" s="2" t="s">
        <v>286</v>
      </c>
      <c r="G125" s="1">
        <v>10594181</v>
      </c>
      <c r="H125" s="1">
        <v>1778987</v>
      </c>
      <c r="I125" s="1">
        <v>933842</v>
      </c>
      <c r="J125" s="1">
        <v>91291</v>
      </c>
      <c r="K125" s="1">
        <v>9221385</v>
      </c>
      <c r="L125" s="1">
        <v>1575986</v>
      </c>
      <c r="M125" s="1">
        <v>892261</v>
      </c>
      <c r="N125" s="1">
        <v>69155</v>
      </c>
      <c r="O125" s="1">
        <v>10796629</v>
      </c>
      <c r="P125" s="1">
        <v>1777069</v>
      </c>
      <c r="Q125" s="1">
        <v>320044</v>
      </c>
      <c r="R125" s="1">
        <v>20510</v>
      </c>
      <c r="S125" s="1">
        <v>10732865</v>
      </c>
      <c r="T125" s="1">
        <v>1785430</v>
      </c>
      <c r="U125" s="1">
        <v>197716</v>
      </c>
      <c r="V125" s="1">
        <v>24011</v>
      </c>
      <c r="W125" s="1">
        <v>10820327</v>
      </c>
      <c r="X125" s="1">
        <v>1808258</v>
      </c>
      <c r="Y125" s="1">
        <v>240826</v>
      </c>
      <c r="Z125" s="1">
        <v>153</v>
      </c>
      <c r="AA125" s="1">
        <v>10594181</v>
      </c>
      <c r="AB125" s="1">
        <v>1778987</v>
      </c>
      <c r="AC125" s="1">
        <v>208199</v>
      </c>
      <c r="AD125" s="1">
        <v>87406</v>
      </c>
      <c r="AE125" s="1">
        <v>10447555</v>
      </c>
      <c r="AF125" s="1">
        <v>1762943</v>
      </c>
      <c r="AG125" s="1">
        <v>220584</v>
      </c>
      <c r="AH125" s="1">
        <v>-75280</v>
      </c>
      <c r="AI125" s="1">
        <f t="shared" si="9"/>
        <v>135381.54875717015</v>
      </c>
      <c r="AJ125" s="1">
        <f t="shared" si="10"/>
        <v>132080</v>
      </c>
      <c r="AK125" s="8">
        <f t="shared" si="11"/>
        <v>-2.4386992078898717E-2</v>
      </c>
      <c r="AL125" s="9">
        <f t="shared" si="12"/>
        <v>1011448</v>
      </c>
      <c r="AM125" s="8">
        <f t="shared" si="13"/>
        <v>8.3103994037535323E-2</v>
      </c>
      <c r="AN125" s="9">
        <f t="shared" si="14"/>
        <v>59565.333333333336</v>
      </c>
      <c r="AO125" s="8">
        <f t="shared" si="15"/>
        <v>-0.34752239176552635</v>
      </c>
      <c r="AP125" s="8">
        <f t="shared" si="16"/>
        <v>-0.56001882176592699</v>
      </c>
      <c r="AT125">
        <v>-2.82</v>
      </c>
      <c r="AU125">
        <v>5.44</v>
      </c>
      <c r="AV125">
        <v>-22.57</v>
      </c>
    </row>
    <row r="126" spans="1:48" x14ac:dyDescent="0.2">
      <c r="A126" t="s">
        <v>641</v>
      </c>
      <c r="B126">
        <v>1103571</v>
      </c>
      <c r="C126" s="1">
        <v>1542</v>
      </c>
      <c r="D126" s="1">
        <v>195755</v>
      </c>
      <c r="E126" s="2" t="s">
        <v>642</v>
      </c>
      <c r="G126" s="1">
        <v>383289</v>
      </c>
      <c r="H126" s="1">
        <v>267978</v>
      </c>
      <c r="I126" s="1">
        <v>250371</v>
      </c>
      <c r="J126" s="1">
        <v>28039</v>
      </c>
      <c r="K126" s="1">
        <v>454751</v>
      </c>
      <c r="L126" s="1">
        <v>250939</v>
      </c>
      <c r="M126" s="1">
        <v>234633</v>
      </c>
      <c r="N126" s="1">
        <v>37607</v>
      </c>
      <c r="O126" s="1">
        <v>359638</v>
      </c>
      <c r="P126" s="1">
        <v>257142</v>
      </c>
      <c r="Q126" s="1">
        <v>70400</v>
      </c>
      <c r="R126" s="1">
        <v>9456</v>
      </c>
      <c r="S126" s="1">
        <v>328586</v>
      </c>
      <c r="T126" s="1">
        <v>248686</v>
      </c>
      <c r="U126" s="1">
        <v>51172</v>
      </c>
      <c r="V126" s="1">
        <v>-12963</v>
      </c>
      <c r="W126" s="1">
        <v>349017</v>
      </c>
      <c r="X126" s="1">
        <v>262649</v>
      </c>
      <c r="Y126" s="1">
        <v>50691</v>
      </c>
      <c r="Z126" s="1">
        <v>4671</v>
      </c>
      <c r="AA126" s="1">
        <v>383289</v>
      </c>
      <c r="AB126" s="1">
        <v>267978</v>
      </c>
      <c r="AC126" s="1">
        <v>70264</v>
      </c>
      <c r="AD126" s="1">
        <v>3145</v>
      </c>
      <c r="AE126" s="1">
        <v>373208</v>
      </c>
      <c r="AF126" s="1">
        <v>266833</v>
      </c>
      <c r="AG126" s="1">
        <v>73045</v>
      </c>
      <c r="AH126" s="1">
        <v>11364</v>
      </c>
      <c r="AI126" s="1">
        <f t="shared" si="9"/>
        <v>4308.9368258859786</v>
      </c>
      <c r="AJ126" s="1">
        <f t="shared" si="10"/>
        <v>4309</v>
      </c>
      <c r="AK126" s="8">
        <f t="shared" si="11"/>
        <v>1.4661183622255436E-5</v>
      </c>
      <c r="AL126" s="9">
        <f t="shared" si="12"/>
        <v>229684</v>
      </c>
      <c r="AM126" s="8">
        <f t="shared" si="13"/>
        <v>-8.2625383930247542E-2</v>
      </c>
      <c r="AN126" s="9">
        <f t="shared" si="14"/>
        <v>1552</v>
      </c>
      <c r="AO126" s="8">
        <f t="shared" si="15"/>
        <v>-0.94464852526837617</v>
      </c>
      <c r="AP126" s="8">
        <f t="shared" si="16"/>
        <v>-0.63981834435902019</v>
      </c>
      <c r="AT126">
        <v>-2.34</v>
      </c>
      <c r="AU126">
        <v>9.69</v>
      </c>
      <c r="AV126">
        <v>24.88</v>
      </c>
    </row>
    <row r="127" spans="1:48" x14ac:dyDescent="0.2">
      <c r="A127" t="s">
        <v>273</v>
      </c>
      <c r="B127">
        <v>1196211</v>
      </c>
      <c r="C127" s="1">
        <v>6050</v>
      </c>
      <c r="D127" s="1">
        <v>898818</v>
      </c>
      <c r="E127" s="2" t="s">
        <v>274</v>
      </c>
      <c r="G127" s="1">
        <v>1864374</v>
      </c>
      <c r="H127" s="1">
        <v>834031</v>
      </c>
      <c r="I127" s="1">
        <v>58188</v>
      </c>
      <c r="J127" s="1">
        <v>66219</v>
      </c>
      <c r="K127" s="1">
        <v>1702840</v>
      </c>
      <c r="L127" s="1">
        <v>767812</v>
      </c>
      <c r="M127" s="1">
        <v>55767</v>
      </c>
      <c r="N127" s="1">
        <v>84097</v>
      </c>
      <c r="O127" s="1">
        <v>1990786</v>
      </c>
      <c r="P127" s="1">
        <v>1011413</v>
      </c>
      <c r="Q127" s="1">
        <v>15907</v>
      </c>
      <c r="R127" s="1">
        <v>1573</v>
      </c>
      <c r="S127" s="1">
        <v>1844818</v>
      </c>
      <c r="T127" s="1">
        <v>1007928</v>
      </c>
      <c r="U127" s="1">
        <v>14433</v>
      </c>
      <c r="V127" s="1">
        <v>1176</v>
      </c>
      <c r="W127" s="1">
        <v>1817034</v>
      </c>
      <c r="X127" s="1">
        <v>837998</v>
      </c>
      <c r="Y127" s="1">
        <v>14537</v>
      </c>
      <c r="Z127" s="1">
        <v>2522</v>
      </c>
      <c r="AA127" s="1">
        <v>1864374</v>
      </c>
      <c r="AB127" s="1">
        <v>834031</v>
      </c>
      <c r="AC127" s="1">
        <v>14107</v>
      </c>
      <c r="AD127" s="1">
        <v>63116</v>
      </c>
      <c r="AE127" s="1">
        <v>1757174</v>
      </c>
      <c r="AF127" s="1">
        <v>770915</v>
      </c>
      <c r="AG127" s="1">
        <v>15518</v>
      </c>
      <c r="AH127" s="1">
        <v>-106</v>
      </c>
      <c r="AI127" s="1">
        <f t="shared" si="9"/>
        <v>68716.972477064221</v>
      </c>
      <c r="AJ127" s="1">
        <f t="shared" si="10"/>
        <v>68387</v>
      </c>
      <c r="AK127" s="8">
        <f t="shared" si="11"/>
        <v>-4.8019065038751307E-3</v>
      </c>
      <c r="AL127" s="9">
        <f t="shared" si="12"/>
        <v>59836</v>
      </c>
      <c r="AM127" s="8">
        <f t="shared" si="13"/>
        <v>2.8321990788478635E-2</v>
      </c>
      <c r="AN127" s="9">
        <f t="shared" si="14"/>
        <v>7028</v>
      </c>
      <c r="AO127" s="8">
        <f t="shared" si="15"/>
        <v>-0.89386731904740335</v>
      </c>
      <c r="AP127" s="8">
        <f t="shared" si="16"/>
        <v>-0.89772541270869077</v>
      </c>
      <c r="AT127">
        <v>0.7</v>
      </c>
      <c r="AU127">
        <v>0</v>
      </c>
      <c r="AV127">
        <v>0</v>
      </c>
    </row>
    <row r="128" spans="1:48" x14ac:dyDescent="0.2">
      <c r="A128" t="s">
        <v>173</v>
      </c>
      <c r="B128">
        <v>366013</v>
      </c>
      <c r="C128" s="1">
        <v>362.7</v>
      </c>
      <c r="D128" s="1">
        <v>1253395</v>
      </c>
      <c r="E128" s="2" t="s">
        <v>174</v>
      </c>
      <c r="G128" s="1">
        <v>2425475</v>
      </c>
      <c r="H128" s="1">
        <v>942867</v>
      </c>
      <c r="I128" s="1">
        <v>108777</v>
      </c>
      <c r="J128" s="1">
        <v>117807</v>
      </c>
      <c r="K128" s="1">
        <v>1780186</v>
      </c>
      <c r="L128" s="1">
        <v>819677</v>
      </c>
      <c r="M128" s="1">
        <v>101334</v>
      </c>
      <c r="N128" s="1">
        <v>33887</v>
      </c>
      <c r="O128" s="1">
        <v>2518879</v>
      </c>
      <c r="P128" s="1">
        <v>942446</v>
      </c>
      <c r="Q128" s="1">
        <v>29842</v>
      </c>
      <c r="R128" s="1">
        <v>461</v>
      </c>
      <c r="S128" s="1">
        <v>2496213</v>
      </c>
      <c r="T128" s="1">
        <v>943728</v>
      </c>
      <c r="U128" s="1">
        <v>27029</v>
      </c>
      <c r="V128" s="1">
        <v>3774</v>
      </c>
      <c r="W128" s="1">
        <v>2487975</v>
      </c>
      <c r="X128" s="1">
        <v>939484</v>
      </c>
      <c r="Y128" s="1">
        <v>27292</v>
      </c>
      <c r="Z128" s="1">
        <v>3561</v>
      </c>
      <c r="AA128" s="1">
        <v>2425475</v>
      </c>
      <c r="AB128" s="1">
        <v>942867</v>
      </c>
      <c r="AC128" s="1">
        <v>26856</v>
      </c>
      <c r="AD128" s="1">
        <v>96550</v>
      </c>
      <c r="AE128" s="1">
        <v>2279073</v>
      </c>
      <c r="AF128" s="1">
        <v>840359</v>
      </c>
      <c r="AG128" s="1">
        <v>29615</v>
      </c>
      <c r="AH128" s="1">
        <v>-2469</v>
      </c>
      <c r="AI128" s="1">
        <f t="shared" si="9"/>
        <v>101736.60714285714</v>
      </c>
      <c r="AJ128" s="1">
        <f t="shared" si="10"/>
        <v>104346</v>
      </c>
      <c r="AK128" s="8">
        <f t="shared" si="11"/>
        <v>2.5648514634253328E-2</v>
      </c>
      <c r="AL128" s="9">
        <f t="shared" si="12"/>
        <v>112217.33333333333</v>
      </c>
      <c r="AM128" s="8">
        <f t="shared" si="13"/>
        <v>3.1627396722959222E-2</v>
      </c>
      <c r="AN128" s="9">
        <f t="shared" si="14"/>
        <v>10394.666666666666</v>
      </c>
      <c r="AO128" s="8">
        <f t="shared" si="15"/>
        <v>-0.91176528842372129</v>
      </c>
      <c r="AP128" s="8">
        <f t="shared" si="16"/>
        <v>-0.89782766539412284</v>
      </c>
      <c r="AT128">
        <v>23.38</v>
      </c>
      <c r="AU128">
        <v>73.69</v>
      </c>
      <c r="AV128">
        <v>18.66</v>
      </c>
    </row>
    <row r="129" spans="1:48" x14ac:dyDescent="0.2">
      <c r="A129" t="s">
        <v>312</v>
      </c>
      <c r="B129">
        <v>1092345</v>
      </c>
      <c r="C129" s="1">
        <v>334.8</v>
      </c>
      <c r="D129" s="1">
        <v>236673</v>
      </c>
      <c r="E129" s="2" t="s">
        <v>313</v>
      </c>
      <c r="G129" s="1">
        <v>1583461.79</v>
      </c>
      <c r="H129" s="1">
        <v>105270.66</v>
      </c>
      <c r="I129" s="1">
        <v>364762.01</v>
      </c>
      <c r="J129" s="1">
        <v>59125.17</v>
      </c>
      <c r="K129" s="1">
        <v>1491941.1</v>
      </c>
      <c r="L129" s="1">
        <v>38707.339999999997</v>
      </c>
      <c r="M129" s="1">
        <v>359664.21</v>
      </c>
      <c r="N129" s="1">
        <v>-91755.85</v>
      </c>
      <c r="O129" s="1">
        <v>1974134.92</v>
      </c>
      <c r="P129" s="1">
        <v>99533.74</v>
      </c>
      <c r="Q129" s="1">
        <v>72004.679999999993</v>
      </c>
      <c r="R129" s="1">
        <v>3375.43</v>
      </c>
      <c r="S129" s="1">
        <v>1525637.79</v>
      </c>
      <c r="T129" s="1">
        <v>98428.68</v>
      </c>
      <c r="U129" s="1">
        <v>73998.539999999994</v>
      </c>
      <c r="V129" s="1">
        <v>2363.77</v>
      </c>
      <c r="W129" s="1">
        <v>1639128.61</v>
      </c>
      <c r="X129" s="1">
        <v>106029.92</v>
      </c>
      <c r="Y129" s="1">
        <v>84759.24</v>
      </c>
      <c r="Z129" s="1">
        <v>-1282.71</v>
      </c>
      <c r="AA129" s="1">
        <v>1583461.79</v>
      </c>
      <c r="AB129" s="1">
        <v>105270.66</v>
      </c>
      <c r="AC129" s="1">
        <v>91495.94</v>
      </c>
      <c r="AD129" s="1">
        <v>62939.93</v>
      </c>
      <c r="AE129" s="1">
        <v>1520784.67</v>
      </c>
      <c r="AF129" s="1">
        <v>35697.620000000003</v>
      </c>
      <c r="AG129" s="1">
        <v>92538.53</v>
      </c>
      <c r="AH129" s="1">
        <v>-3105.27</v>
      </c>
      <c r="AI129" s="1">
        <f t="shared" si="9"/>
        <v>68205.475504322763</v>
      </c>
      <c r="AJ129" s="1">
        <f t="shared" si="10"/>
        <v>67396.42</v>
      </c>
      <c r="AK129" s="8">
        <f t="shared" si="11"/>
        <v>-1.1862031579436549E-2</v>
      </c>
      <c r="AL129" s="9">
        <f t="shared" si="12"/>
        <v>307683.27999999997</v>
      </c>
      <c r="AM129" s="8">
        <f t="shared" si="13"/>
        <v>-0.15648211281651847</v>
      </c>
      <c r="AN129" s="9">
        <f t="shared" si="14"/>
        <v>5941.9866666666667</v>
      </c>
      <c r="AO129" s="8">
        <f t="shared" si="15"/>
        <v>-0.89950157155291621</v>
      </c>
      <c r="AP129" s="8">
        <f t="shared" si="16"/>
        <v>-0.91288109022434605</v>
      </c>
      <c r="AT129">
        <v>219.43</v>
      </c>
      <c r="AU129">
        <v>1427.36</v>
      </c>
      <c r="AV129">
        <v>50.01</v>
      </c>
    </row>
    <row r="130" spans="1:48" x14ac:dyDescent="0.2">
      <c r="A130" t="s">
        <v>551</v>
      </c>
      <c r="B130">
        <v>1102219</v>
      </c>
      <c r="C130" s="1">
        <v>6769</v>
      </c>
      <c r="D130" s="1">
        <v>110457</v>
      </c>
      <c r="E130" s="2" t="s">
        <v>552</v>
      </c>
      <c r="G130" s="1">
        <v>329496</v>
      </c>
      <c r="H130" s="1">
        <v>171319</v>
      </c>
      <c r="I130" s="1">
        <v>482149</v>
      </c>
      <c r="J130" s="1">
        <v>5930</v>
      </c>
      <c r="K130" s="1">
        <v>332708</v>
      </c>
      <c r="L130" s="1">
        <v>168280</v>
      </c>
      <c r="M130" s="1">
        <v>473761</v>
      </c>
      <c r="N130" s="1">
        <v>7430</v>
      </c>
      <c r="O130" s="1">
        <v>313073</v>
      </c>
      <c r="P130" s="1">
        <v>164199</v>
      </c>
      <c r="Q130" s="1">
        <v>127379</v>
      </c>
      <c r="R130" s="1">
        <v>-1230</v>
      </c>
      <c r="S130" s="1">
        <v>309949</v>
      </c>
      <c r="T130" s="1">
        <v>167385</v>
      </c>
      <c r="U130" s="1">
        <v>131451</v>
      </c>
      <c r="V130" s="1">
        <v>-173</v>
      </c>
      <c r="W130" s="1">
        <v>311496</v>
      </c>
      <c r="X130" s="1">
        <v>170306</v>
      </c>
      <c r="Y130" s="1">
        <v>129776</v>
      </c>
      <c r="Z130" s="1">
        <v>896</v>
      </c>
      <c r="AA130" s="1">
        <v>329496</v>
      </c>
      <c r="AB130" s="1">
        <v>171319</v>
      </c>
      <c r="AC130" s="1">
        <v>135559</v>
      </c>
      <c r="AD130" s="1">
        <v>3294</v>
      </c>
      <c r="AE130" s="1">
        <v>334381</v>
      </c>
      <c r="AF130" s="1">
        <v>168748</v>
      </c>
      <c r="AG130" s="1">
        <v>127704</v>
      </c>
      <c r="AH130" s="1">
        <v>3320</v>
      </c>
      <c r="AI130" s="1">
        <f t="shared" ref="AI130:AI164" si="17">D130/E130</f>
        <v>2731.3798219584573</v>
      </c>
      <c r="AJ130" s="1">
        <f t="shared" ref="AJ130:AJ164" si="18">R130+V130+Z130+AD130</f>
        <v>2787</v>
      </c>
      <c r="AK130" s="8">
        <f t="shared" ref="AK130:AK132" si="19">AJ130/AI130-1</f>
        <v>2.0363399331866594E-2</v>
      </c>
      <c r="AL130" s="9">
        <f t="shared" ref="AL130:AL163" si="20">(Y130+U130+Q130)/3*4</f>
        <v>518141.33333333331</v>
      </c>
      <c r="AM130" s="8">
        <f t="shared" ref="AM130:AM131" si="21">AL130/I130-1</f>
        <v>7.4649814338167975E-2</v>
      </c>
      <c r="AN130" s="9">
        <f t="shared" ref="AN130:AN163" si="22">(Z130+V130+R130)/3*4</f>
        <v>-676</v>
      </c>
      <c r="AO130" s="8">
        <f t="shared" ref="AO130:AO131" si="23">AN130/J130-1</f>
        <v>-1.1139966273187183</v>
      </c>
      <c r="AP130" s="8">
        <f t="shared" si="16"/>
        <v>-1.2474939569244139</v>
      </c>
      <c r="AT130">
        <v>17.21</v>
      </c>
      <c r="AU130">
        <v>63.1</v>
      </c>
      <c r="AV130">
        <v>11.58</v>
      </c>
    </row>
    <row r="131" spans="1:48" x14ac:dyDescent="0.2">
      <c r="A131" t="s">
        <v>621</v>
      </c>
      <c r="B131">
        <v>769026</v>
      </c>
      <c r="C131" s="1">
        <v>5907</v>
      </c>
      <c r="D131" s="1">
        <v>905672</v>
      </c>
      <c r="E131" s="2" t="s">
        <v>622</v>
      </c>
      <c r="G131" s="1">
        <v>1150565</v>
      </c>
      <c r="H131" s="1">
        <v>563504</v>
      </c>
      <c r="I131" s="1">
        <v>753979</v>
      </c>
      <c r="J131" s="1">
        <v>202693</v>
      </c>
      <c r="K131" s="1">
        <v>3188481</v>
      </c>
      <c r="L131" s="1">
        <v>410481</v>
      </c>
      <c r="M131" s="1">
        <v>580221</v>
      </c>
      <c r="N131" s="1">
        <v>50034</v>
      </c>
      <c r="O131" s="1">
        <v>1628667</v>
      </c>
      <c r="P131" s="1">
        <v>559717</v>
      </c>
      <c r="Q131" s="1">
        <v>202641</v>
      </c>
      <c r="R131" s="1">
        <v>-8670</v>
      </c>
      <c r="S131" s="1">
        <v>1577557</v>
      </c>
      <c r="T131" s="1">
        <v>568494</v>
      </c>
      <c r="U131" s="1">
        <v>187218</v>
      </c>
      <c r="V131" s="1">
        <v>-8377</v>
      </c>
      <c r="W131" s="1">
        <v>1500345</v>
      </c>
      <c r="X131" s="1">
        <v>577025</v>
      </c>
      <c r="Y131" s="1">
        <v>181005</v>
      </c>
      <c r="Z131" s="1">
        <v>12910</v>
      </c>
      <c r="AA131" s="1">
        <v>1150565</v>
      </c>
      <c r="AB131" s="1">
        <v>563504</v>
      </c>
      <c r="AC131" s="1">
        <v>207351</v>
      </c>
      <c r="AD131" s="1">
        <v>8167</v>
      </c>
      <c r="AE131" s="1">
        <v>1064475</v>
      </c>
      <c r="AF131" s="1">
        <v>555428</v>
      </c>
      <c r="AG131" s="1">
        <v>200513</v>
      </c>
      <c r="AH131" s="1">
        <v>20215</v>
      </c>
      <c r="AI131" s="1">
        <f t="shared" si="17"/>
        <v>4030.0449428202733</v>
      </c>
      <c r="AJ131" s="1">
        <f t="shared" si="18"/>
        <v>4030</v>
      </c>
      <c r="AK131" s="8">
        <f t="shared" si="19"/>
        <v>-1.1151940216724832E-5</v>
      </c>
      <c r="AL131" s="9">
        <f t="shared" si="20"/>
        <v>761152</v>
      </c>
      <c r="AM131" s="8">
        <f t="shared" si="21"/>
        <v>9.5135275650912732E-3</v>
      </c>
      <c r="AN131" s="9">
        <f t="shared" si="22"/>
        <v>-5516</v>
      </c>
      <c r="AO131" s="8">
        <f t="shared" si="23"/>
        <v>-1.0272135692895166</v>
      </c>
      <c r="AP131" s="8">
        <f t="shared" si="16"/>
        <v>-2.3687192272699167</v>
      </c>
      <c r="AT131">
        <v>10.210000000000001</v>
      </c>
      <c r="AU131">
        <v>130.52000000000001</v>
      </c>
      <c r="AV131">
        <v>88.17</v>
      </c>
    </row>
    <row r="132" spans="1:48" x14ac:dyDescent="0.2">
      <c r="A132" t="s">
        <v>69</v>
      </c>
      <c r="B132">
        <v>1176619</v>
      </c>
      <c r="C132" s="1">
        <v>90</v>
      </c>
      <c r="D132" s="1">
        <v>15735</v>
      </c>
      <c r="E132" s="2" t="s">
        <v>70</v>
      </c>
      <c r="G132" s="1">
        <v>8967.9699999999993</v>
      </c>
      <c r="H132" s="1">
        <v>2724.31</v>
      </c>
      <c r="I132" s="1">
        <v>357.41</v>
      </c>
      <c r="J132" s="1">
        <v>49497.09</v>
      </c>
      <c r="K132" s="1">
        <v>9310.51</v>
      </c>
      <c r="L132" s="1">
        <v>-51655.74</v>
      </c>
      <c r="M132" s="1">
        <v>4559.1400000000003</v>
      </c>
      <c r="N132" s="1">
        <v>-70915.11</v>
      </c>
      <c r="S132" s="1">
        <v>8885.2199999999993</v>
      </c>
      <c r="T132" s="1">
        <v>2963.99</v>
      </c>
      <c r="U132" s="1">
        <v>283.25</v>
      </c>
      <c r="V132" s="1">
        <v>-1035.2</v>
      </c>
      <c r="AA132" s="1">
        <v>8967.9699999999993</v>
      </c>
      <c r="AB132" s="1">
        <v>2724.31</v>
      </c>
      <c r="AC132" s="1">
        <v>357.41</v>
      </c>
      <c r="AD132" s="1">
        <v>-2414.31</v>
      </c>
      <c r="AI132" s="1">
        <f t="shared" si="17"/>
        <v>5639.7849462365593</v>
      </c>
      <c r="AJ132" s="1">
        <f t="shared" si="18"/>
        <v>-3449.51</v>
      </c>
      <c r="AK132" s="8">
        <f t="shared" si="19"/>
        <v>-1.6116385700667304</v>
      </c>
      <c r="AT132">
        <v>-30.23</v>
      </c>
      <c r="AU132">
        <v>-39.799999999999997</v>
      </c>
      <c r="AV132">
        <v>-80.260000000000005</v>
      </c>
    </row>
    <row r="133" spans="1:48" x14ac:dyDescent="0.2">
      <c r="A133" t="s">
        <v>130</v>
      </c>
      <c r="B133">
        <v>749077</v>
      </c>
      <c r="C133" s="1">
        <v>563.1</v>
      </c>
      <c r="D133" s="1">
        <v>301426</v>
      </c>
      <c r="E133" s="2" t="s">
        <v>131</v>
      </c>
      <c r="G133" s="1">
        <v>537232.29</v>
      </c>
      <c r="H133" s="1">
        <v>403580.68</v>
      </c>
      <c r="J133" s="1">
        <v>82338.320000000007</v>
      </c>
      <c r="K133" s="1">
        <v>579670.78</v>
      </c>
      <c r="L133" s="1">
        <v>467912.03</v>
      </c>
      <c r="N133" s="1">
        <v>-29647.1</v>
      </c>
      <c r="S133" s="1">
        <v>433946.05</v>
      </c>
      <c r="T133" s="1">
        <v>339253.55</v>
      </c>
      <c r="V133" s="1">
        <v>-4697.2</v>
      </c>
      <c r="AA133" s="1">
        <v>537232.29</v>
      </c>
      <c r="AB133" s="1">
        <v>403580.68</v>
      </c>
      <c r="AD133" s="1">
        <v>79792.710000000006</v>
      </c>
      <c r="AT133">
        <v>-6.13</v>
      </c>
      <c r="AU133">
        <v>47.48</v>
      </c>
      <c r="AV133">
        <v>33.32</v>
      </c>
    </row>
    <row r="134" spans="1:48" x14ac:dyDescent="0.2">
      <c r="A134" t="s">
        <v>106</v>
      </c>
      <c r="B134">
        <v>1083856</v>
      </c>
      <c r="C134" s="1">
        <v>277.2</v>
      </c>
      <c r="D134" s="1">
        <v>198736</v>
      </c>
      <c r="E134" s="2" t="s">
        <v>107</v>
      </c>
      <c r="G134" s="1">
        <v>126955.72</v>
      </c>
      <c r="H134" s="1">
        <v>96102.1</v>
      </c>
      <c r="I134" s="1">
        <v>116062.13</v>
      </c>
      <c r="J134" s="1">
        <v>21079.66</v>
      </c>
      <c r="K134" s="1">
        <v>72779.38</v>
      </c>
      <c r="L134" s="1">
        <v>47807.49</v>
      </c>
      <c r="M134" s="1">
        <v>96191.67</v>
      </c>
      <c r="N134" s="1">
        <v>-20039.18</v>
      </c>
      <c r="S134" s="1">
        <v>120633.3</v>
      </c>
      <c r="T134" s="1">
        <v>98209.5</v>
      </c>
      <c r="U134" s="1">
        <v>29643.25</v>
      </c>
      <c r="V134" s="1">
        <v>967.76</v>
      </c>
      <c r="W134" s="1">
        <v>127873.17</v>
      </c>
      <c r="X134" s="1">
        <v>102687.44</v>
      </c>
      <c r="Y134" s="1">
        <v>26520.49</v>
      </c>
      <c r="Z134" s="1">
        <v>1516.94</v>
      </c>
      <c r="AA134" s="1">
        <v>126955.72</v>
      </c>
      <c r="AB134" s="1">
        <v>96102.1</v>
      </c>
      <c r="AC134" s="1">
        <v>26878.39</v>
      </c>
      <c r="AD134" s="1">
        <v>1611.97</v>
      </c>
      <c r="AE134" s="1">
        <v>123435.41</v>
      </c>
      <c r="AF134" s="1">
        <v>92653.54</v>
      </c>
      <c r="AG134" s="1">
        <v>26689.74</v>
      </c>
      <c r="AH134" s="1">
        <v>15763.79</v>
      </c>
      <c r="AT134">
        <v>-50.28</v>
      </c>
      <c r="AU134">
        <v>-41.88</v>
      </c>
      <c r="AV134">
        <v>164.95</v>
      </c>
    </row>
    <row r="135" spans="1:48" x14ac:dyDescent="0.2">
      <c r="A135" t="s">
        <v>385</v>
      </c>
      <c r="B135">
        <v>584011</v>
      </c>
      <c r="C135" s="1">
        <v>1647</v>
      </c>
      <c r="D135" s="1">
        <v>170712</v>
      </c>
      <c r="E135" s="2" t="s">
        <v>386</v>
      </c>
      <c r="G135" s="1">
        <v>264022</v>
      </c>
      <c r="H135" s="1">
        <v>-17861</v>
      </c>
      <c r="I135" s="1">
        <v>38308</v>
      </c>
      <c r="J135" s="1">
        <v>-566</v>
      </c>
      <c r="K135" s="1">
        <v>295047</v>
      </c>
      <c r="L135" s="1">
        <v>-17292</v>
      </c>
      <c r="M135" s="1">
        <v>41662</v>
      </c>
      <c r="N135" s="1">
        <v>-18836</v>
      </c>
      <c r="S135" s="1">
        <v>109871</v>
      </c>
      <c r="T135" s="1">
        <v>6523</v>
      </c>
      <c r="U135" s="1">
        <v>22401</v>
      </c>
      <c r="V135" s="1">
        <v>24392</v>
      </c>
      <c r="AA135" s="1">
        <v>264022</v>
      </c>
      <c r="AB135" s="1">
        <v>-17861</v>
      </c>
      <c r="AC135" s="1">
        <v>17592</v>
      </c>
      <c r="AD135" s="1">
        <v>-2796</v>
      </c>
      <c r="AT135">
        <v>1.27</v>
      </c>
      <c r="AU135">
        <v>38.24</v>
      </c>
      <c r="AV135">
        <v>-20.77</v>
      </c>
    </row>
    <row r="136" spans="1:48" x14ac:dyDescent="0.2">
      <c r="A136" t="s">
        <v>241</v>
      </c>
      <c r="B136">
        <v>1144781</v>
      </c>
      <c r="C136" s="1">
        <v>1002</v>
      </c>
      <c r="D136" s="1">
        <v>201593</v>
      </c>
      <c r="E136" s="2" t="s">
        <v>242</v>
      </c>
      <c r="G136" s="1">
        <v>167828</v>
      </c>
      <c r="H136" s="1">
        <v>40129</v>
      </c>
      <c r="I136" s="1">
        <v>722</v>
      </c>
      <c r="J136" s="1">
        <v>-10304</v>
      </c>
      <c r="K136" s="1">
        <v>163678</v>
      </c>
      <c r="L136" s="1">
        <v>49252</v>
      </c>
      <c r="M136" s="1">
        <v>684</v>
      </c>
      <c r="N136" s="1">
        <v>-17378</v>
      </c>
      <c r="S136" s="1">
        <v>170584</v>
      </c>
      <c r="T136" s="1">
        <v>58426</v>
      </c>
      <c r="U136" s="1">
        <v>391</v>
      </c>
      <c r="V136" s="1">
        <v>18297</v>
      </c>
      <c r="AA136" s="1">
        <v>167828</v>
      </c>
      <c r="AB136" s="1">
        <v>40129</v>
      </c>
      <c r="AC136" s="1">
        <v>369</v>
      </c>
      <c r="AD136" s="1">
        <v>11223</v>
      </c>
      <c r="AT136">
        <v>0.1</v>
      </c>
      <c r="AU136">
        <v>-38.6</v>
      </c>
      <c r="AV136">
        <v>-35.89</v>
      </c>
    </row>
    <row r="137" spans="1:48" x14ac:dyDescent="0.2">
      <c r="A137" t="s">
        <v>194</v>
      </c>
      <c r="B137">
        <v>530014</v>
      </c>
      <c r="C137" s="1">
        <v>1232</v>
      </c>
      <c r="D137" s="1">
        <v>135517</v>
      </c>
      <c r="E137" s="2" t="s">
        <v>195</v>
      </c>
      <c r="G137" s="1">
        <v>397123</v>
      </c>
      <c r="H137" s="1">
        <v>102532</v>
      </c>
      <c r="I137" s="1">
        <v>353866</v>
      </c>
      <c r="J137" s="1">
        <v>6972</v>
      </c>
      <c r="K137" s="1">
        <v>409521</v>
      </c>
      <c r="L137" s="1">
        <v>96779</v>
      </c>
      <c r="M137" s="1">
        <v>367429</v>
      </c>
      <c r="N137" s="1">
        <v>-3665</v>
      </c>
      <c r="S137" s="1">
        <v>416483</v>
      </c>
      <c r="T137" s="1">
        <v>98788</v>
      </c>
      <c r="U137" s="1">
        <v>183120</v>
      </c>
      <c r="V137" s="1">
        <v>2256</v>
      </c>
      <c r="AA137" s="1">
        <v>397123</v>
      </c>
      <c r="AB137" s="1">
        <v>102532</v>
      </c>
      <c r="AC137" s="1">
        <v>189395</v>
      </c>
      <c r="AD137" s="1">
        <v>4839</v>
      </c>
      <c r="AT137">
        <v>12.58</v>
      </c>
      <c r="AU137">
        <v>38.130000000000003</v>
      </c>
      <c r="AV137">
        <v>-31.58</v>
      </c>
    </row>
    <row r="138" spans="1:48" x14ac:dyDescent="0.2">
      <c r="A138" t="s">
        <v>580</v>
      </c>
      <c r="B138">
        <v>106013</v>
      </c>
      <c r="C138" s="1">
        <v>1225</v>
      </c>
      <c r="D138" s="1">
        <v>731184</v>
      </c>
      <c r="E138" s="2" t="s">
        <v>581</v>
      </c>
      <c r="G138" s="1">
        <v>97367.61</v>
      </c>
      <c r="H138" s="1">
        <v>96813.26</v>
      </c>
      <c r="I138" s="1">
        <v>160.47</v>
      </c>
      <c r="J138" s="1">
        <v>-16174.45</v>
      </c>
      <c r="K138" s="1">
        <v>22888</v>
      </c>
      <c r="L138" s="1">
        <v>22598</v>
      </c>
      <c r="M138" s="1">
        <v>170</v>
      </c>
      <c r="N138" s="1">
        <v>-1775</v>
      </c>
      <c r="S138" s="1">
        <v>368070.66</v>
      </c>
      <c r="T138" s="1">
        <v>148027.43</v>
      </c>
      <c r="U138" s="1">
        <v>50.58</v>
      </c>
      <c r="V138" s="1">
        <v>42682.78</v>
      </c>
      <c r="AA138" s="1">
        <v>97367.61</v>
      </c>
      <c r="AB138" s="1">
        <v>96813.26</v>
      </c>
      <c r="AC138" s="1">
        <v>51.06</v>
      </c>
      <c r="AD138" s="1">
        <v>-14431.18</v>
      </c>
      <c r="AT138">
        <v>-2.2599999999999998</v>
      </c>
      <c r="AU138">
        <v>-9.02</v>
      </c>
      <c r="AV138">
        <v>106263.63</v>
      </c>
    </row>
    <row r="139" spans="1:48" x14ac:dyDescent="0.2">
      <c r="A139" t="s">
        <v>511</v>
      </c>
      <c r="B139">
        <v>1173145</v>
      </c>
      <c r="C139" s="1">
        <v>1268</v>
      </c>
      <c r="D139" s="1">
        <v>214364</v>
      </c>
      <c r="E139" s="2" t="s">
        <v>512</v>
      </c>
      <c r="G139" s="1">
        <v>403753</v>
      </c>
      <c r="H139" s="1">
        <v>190602</v>
      </c>
      <c r="I139" s="1">
        <v>58365</v>
      </c>
      <c r="J139" s="1">
        <v>-22425</v>
      </c>
      <c r="K139" s="1">
        <v>303857</v>
      </c>
      <c r="L139" s="1">
        <v>174157</v>
      </c>
      <c r="N139" s="1">
        <v>-1300</v>
      </c>
      <c r="S139" s="1">
        <v>502342</v>
      </c>
      <c r="T139" s="1">
        <v>237744</v>
      </c>
      <c r="U139" s="1">
        <v>53055</v>
      </c>
      <c r="V139" s="1">
        <v>46930</v>
      </c>
      <c r="AA139" s="1">
        <v>403753</v>
      </c>
      <c r="AB139" s="1">
        <v>190602</v>
      </c>
      <c r="AC139" s="1">
        <v>48917</v>
      </c>
      <c r="AD139" s="1">
        <v>3133</v>
      </c>
      <c r="AT139">
        <v>-12.34</v>
      </c>
      <c r="AU139">
        <v>37.57</v>
      </c>
      <c r="AV139">
        <v>14.5</v>
      </c>
    </row>
    <row r="140" spans="1:48" x14ac:dyDescent="0.2">
      <c r="A140" t="s">
        <v>267</v>
      </c>
      <c r="B140">
        <v>1103852</v>
      </c>
      <c r="C140" s="1">
        <v>119.1</v>
      </c>
      <c r="D140" s="1">
        <v>988708</v>
      </c>
      <c r="E140" s="2" t="s">
        <v>268</v>
      </c>
      <c r="G140" s="1">
        <v>104280</v>
      </c>
      <c r="H140" s="1">
        <v>101465</v>
      </c>
      <c r="I140" s="1">
        <v>306</v>
      </c>
      <c r="J140" s="1">
        <v>22096</v>
      </c>
      <c r="K140" s="1">
        <v>80658</v>
      </c>
      <c r="L140" s="1">
        <v>79187</v>
      </c>
      <c r="M140" s="1">
        <v>306</v>
      </c>
      <c r="N140" s="1">
        <v>-1177</v>
      </c>
      <c r="S140" s="1">
        <v>100002</v>
      </c>
      <c r="T140" s="1">
        <v>98227</v>
      </c>
      <c r="U140" s="1">
        <v>153</v>
      </c>
      <c r="V140" s="1">
        <v>-2804</v>
      </c>
      <c r="AA140" s="1">
        <v>104280</v>
      </c>
      <c r="AB140" s="1">
        <v>101465</v>
      </c>
      <c r="AC140" s="1">
        <v>153</v>
      </c>
      <c r="AD140" s="1">
        <v>3320</v>
      </c>
      <c r="AT140">
        <v>13.56</v>
      </c>
      <c r="AU140">
        <v>36.69</v>
      </c>
      <c r="AV140">
        <v>70.66</v>
      </c>
    </row>
    <row r="141" spans="1:48" x14ac:dyDescent="0.2">
      <c r="A141" t="s">
        <v>255</v>
      </c>
      <c r="B141">
        <v>1095892</v>
      </c>
      <c r="C141" s="1">
        <v>791.8</v>
      </c>
      <c r="D141" s="1">
        <v>120193</v>
      </c>
      <c r="E141" s="2" t="s">
        <v>256</v>
      </c>
      <c r="G141" s="1">
        <v>641110</v>
      </c>
      <c r="H141" s="1">
        <v>208038</v>
      </c>
      <c r="I141" s="1">
        <v>620901</v>
      </c>
      <c r="J141" s="1">
        <v>9078</v>
      </c>
      <c r="K141" s="1">
        <v>655432</v>
      </c>
      <c r="L141" s="1">
        <v>221039</v>
      </c>
      <c r="M141" s="1">
        <v>596946</v>
      </c>
      <c r="N141" s="1">
        <v>-306</v>
      </c>
      <c r="S141" s="1">
        <v>646177</v>
      </c>
      <c r="T141" s="1">
        <v>195139</v>
      </c>
      <c r="U141" s="1">
        <v>166184</v>
      </c>
      <c r="V141" s="1">
        <v>4529</v>
      </c>
      <c r="W141" s="1">
        <v>665513</v>
      </c>
      <c r="X141" s="1">
        <v>194515</v>
      </c>
      <c r="Y141" s="1">
        <v>142900</v>
      </c>
      <c r="Z141" s="1">
        <v>-3534</v>
      </c>
      <c r="AA141" s="1">
        <v>641110</v>
      </c>
      <c r="AB141" s="1">
        <v>208038</v>
      </c>
      <c r="AC141" s="1">
        <v>142431</v>
      </c>
      <c r="AD141" s="1">
        <v>2862</v>
      </c>
      <c r="AE141" s="1">
        <v>643571</v>
      </c>
      <c r="AF141" s="1">
        <v>212447</v>
      </c>
      <c r="AG141" s="1">
        <v>167208</v>
      </c>
      <c r="AH141" s="1">
        <v>1016</v>
      </c>
      <c r="AT141">
        <v>-3.18</v>
      </c>
      <c r="AU141">
        <v>-15.25</v>
      </c>
      <c r="AV141">
        <v>-20.74</v>
      </c>
    </row>
    <row r="142" spans="1:48" x14ac:dyDescent="0.2">
      <c r="A142" t="s">
        <v>394</v>
      </c>
      <c r="B142">
        <v>1091248</v>
      </c>
      <c r="C142" s="1">
        <v>130.69999999999999</v>
      </c>
      <c r="D142" s="1">
        <v>91645</v>
      </c>
      <c r="E142" s="2" t="s">
        <v>395</v>
      </c>
      <c r="G142" s="1">
        <v>133131</v>
      </c>
      <c r="H142" s="1">
        <v>126031</v>
      </c>
      <c r="J142" s="1">
        <v>4672</v>
      </c>
      <c r="K142" s="1">
        <v>127467</v>
      </c>
      <c r="L142" s="1">
        <v>122168</v>
      </c>
      <c r="N142" s="1">
        <v>-289</v>
      </c>
      <c r="S142" s="1">
        <v>133984</v>
      </c>
      <c r="T142" s="1">
        <v>127446</v>
      </c>
      <c r="V142" s="1">
        <v>1415</v>
      </c>
      <c r="AA142" s="1">
        <v>133131</v>
      </c>
      <c r="AB142" s="1">
        <v>126031</v>
      </c>
      <c r="AD142" s="1">
        <v>2806</v>
      </c>
      <c r="AT142">
        <v>14.25</v>
      </c>
      <c r="AU142">
        <v>23.41</v>
      </c>
      <c r="AV142">
        <v>2.93</v>
      </c>
    </row>
    <row r="143" spans="1:48" x14ac:dyDescent="0.2">
      <c r="A143" t="s">
        <v>611</v>
      </c>
      <c r="B143">
        <v>1173723</v>
      </c>
      <c r="C143" s="1">
        <v>27.9</v>
      </c>
      <c r="D143" s="1">
        <v>12653</v>
      </c>
      <c r="E143" s="2" t="s">
        <v>612</v>
      </c>
      <c r="G143" s="1">
        <v>26615</v>
      </c>
      <c r="H143" s="1">
        <v>26378</v>
      </c>
      <c r="I143" s="1">
        <v>717</v>
      </c>
      <c r="J143" s="1">
        <v>-7759</v>
      </c>
      <c r="K143" s="1">
        <v>55415</v>
      </c>
      <c r="L143" s="1">
        <v>54071</v>
      </c>
      <c r="M143" s="1">
        <v>600</v>
      </c>
      <c r="N143" s="1">
        <v>-48</v>
      </c>
      <c r="S143" s="1">
        <v>5704</v>
      </c>
      <c r="T143" s="1">
        <v>5519</v>
      </c>
      <c r="V143" s="1">
        <v>-867</v>
      </c>
      <c r="AA143" s="1">
        <v>26615</v>
      </c>
      <c r="AB143" s="1">
        <v>26378</v>
      </c>
      <c r="AC143" s="1">
        <v>12</v>
      </c>
      <c r="AD143" s="1">
        <v>-7609</v>
      </c>
      <c r="AT143">
        <v>55</v>
      </c>
      <c r="AU143">
        <v>71.150000000000006</v>
      </c>
      <c r="AV143">
        <v>-3.92</v>
      </c>
    </row>
    <row r="144" spans="1:48" x14ac:dyDescent="0.2">
      <c r="A144" t="s">
        <v>342</v>
      </c>
      <c r="B144">
        <v>1157114</v>
      </c>
      <c r="C144" s="1">
        <v>489.5</v>
      </c>
      <c r="D144" s="1">
        <v>100671</v>
      </c>
      <c r="E144" s="2" t="s">
        <v>343</v>
      </c>
      <c r="G144" s="1">
        <v>122240</v>
      </c>
      <c r="H144" s="1">
        <v>57913</v>
      </c>
      <c r="I144" s="1">
        <v>89612</v>
      </c>
      <c r="J144" s="1">
        <v>158</v>
      </c>
      <c r="K144" s="1">
        <v>111542</v>
      </c>
      <c r="L144" s="1">
        <v>57715</v>
      </c>
      <c r="M144" s="1">
        <v>102109</v>
      </c>
      <c r="N144" s="1">
        <v>1032</v>
      </c>
      <c r="S144" s="1">
        <v>127596</v>
      </c>
      <c r="T144" s="1">
        <v>55491</v>
      </c>
      <c r="U144" s="1">
        <v>56334</v>
      </c>
      <c r="V144" s="1">
        <v>1409</v>
      </c>
      <c r="AA144" s="1">
        <v>122240</v>
      </c>
      <c r="AB144" s="1">
        <v>57913</v>
      </c>
      <c r="AC144" s="1">
        <v>45580</v>
      </c>
      <c r="AD144" s="1">
        <v>29</v>
      </c>
      <c r="AT144">
        <v>-8.77</v>
      </c>
      <c r="AU144">
        <v>28.66</v>
      </c>
      <c r="AV144">
        <v>-42.38</v>
      </c>
    </row>
    <row r="145" spans="1:48" x14ac:dyDescent="0.2">
      <c r="A145" t="s">
        <v>480</v>
      </c>
      <c r="B145">
        <v>1181569</v>
      </c>
      <c r="C145" s="1">
        <v>708.2</v>
      </c>
      <c r="D145" s="1">
        <v>110025</v>
      </c>
      <c r="E145" s="2" t="s">
        <v>481</v>
      </c>
      <c r="G145" s="1">
        <v>371131</v>
      </c>
      <c r="H145" s="1">
        <v>150647</v>
      </c>
      <c r="I145" s="1">
        <v>36543</v>
      </c>
      <c r="J145" s="1">
        <v>-6981</v>
      </c>
      <c r="K145" s="1">
        <v>304072</v>
      </c>
      <c r="L145" s="1">
        <v>156881</v>
      </c>
      <c r="M145" s="1">
        <v>64939</v>
      </c>
      <c r="N145" s="1">
        <v>1480</v>
      </c>
      <c r="S145" s="1">
        <v>425995</v>
      </c>
      <c r="T145" s="1">
        <v>157009</v>
      </c>
      <c r="U145" s="1">
        <v>22823</v>
      </c>
      <c r="V145" s="1">
        <v>2173</v>
      </c>
      <c r="W145" s="1">
        <v>420013</v>
      </c>
      <c r="X145" s="1">
        <v>154482</v>
      </c>
      <c r="Y145" s="1">
        <v>21920</v>
      </c>
      <c r="Z145" s="1">
        <v>3584</v>
      </c>
      <c r="AA145" s="1">
        <v>371131</v>
      </c>
      <c r="AB145" s="1">
        <v>150647</v>
      </c>
      <c r="AC145" s="1">
        <v>10009</v>
      </c>
      <c r="AD145" s="1">
        <v>486</v>
      </c>
      <c r="AE145" s="1">
        <v>372958</v>
      </c>
      <c r="AF145" s="1">
        <v>149975</v>
      </c>
      <c r="AG145" s="1">
        <v>9824</v>
      </c>
      <c r="AH145" s="1">
        <v>-2863</v>
      </c>
      <c r="AT145">
        <v>2.35</v>
      </c>
      <c r="AU145">
        <v>18.559999999999999</v>
      </c>
      <c r="AV145">
        <v>-6.34</v>
      </c>
    </row>
    <row r="146" spans="1:48" x14ac:dyDescent="0.2">
      <c r="A146" t="s">
        <v>178</v>
      </c>
      <c r="B146">
        <v>1105139</v>
      </c>
      <c r="C146" s="1">
        <v>26.3</v>
      </c>
      <c r="D146" s="1">
        <v>19741</v>
      </c>
      <c r="E146" s="2" t="s">
        <v>179</v>
      </c>
      <c r="G146" s="1">
        <v>75394</v>
      </c>
      <c r="H146" s="1">
        <v>20808</v>
      </c>
      <c r="I146" s="1">
        <v>46898</v>
      </c>
      <c r="J146" s="1">
        <v>-482</v>
      </c>
      <c r="K146" s="1">
        <v>75712</v>
      </c>
      <c r="L146" s="1">
        <v>23982</v>
      </c>
      <c r="M146" s="1">
        <v>51784</v>
      </c>
      <c r="N146" s="1">
        <v>3025</v>
      </c>
      <c r="S146" s="1">
        <v>77055</v>
      </c>
      <c r="T146" s="1">
        <v>21288</v>
      </c>
      <c r="U146" s="1">
        <v>24620</v>
      </c>
      <c r="V146" s="1">
        <v>435</v>
      </c>
      <c r="AA146" s="1">
        <v>75394</v>
      </c>
      <c r="AB146" s="1">
        <v>20808</v>
      </c>
      <c r="AC146" s="1">
        <v>16332</v>
      </c>
      <c r="AD146" s="1">
        <v>-3309</v>
      </c>
      <c r="AT146">
        <v>-12.67</v>
      </c>
      <c r="AU146">
        <v>-13.82</v>
      </c>
      <c r="AV146">
        <v>-56.11</v>
      </c>
    </row>
    <row r="147" spans="1:48" x14ac:dyDescent="0.2">
      <c r="A147" t="s">
        <v>314</v>
      </c>
      <c r="B147">
        <v>1104785</v>
      </c>
      <c r="C147" s="1">
        <v>626</v>
      </c>
      <c r="D147" s="1">
        <v>88809</v>
      </c>
      <c r="E147" s="2" t="s">
        <v>315</v>
      </c>
      <c r="G147" s="1">
        <v>171620</v>
      </c>
      <c r="H147" s="1">
        <v>91893</v>
      </c>
      <c r="I147" s="1">
        <v>243681</v>
      </c>
      <c r="J147" s="1">
        <v>4427</v>
      </c>
      <c r="K147" s="1">
        <v>176057</v>
      </c>
      <c r="L147" s="1">
        <v>87422</v>
      </c>
      <c r="M147" s="1">
        <v>272113</v>
      </c>
      <c r="N147" s="1">
        <v>3067</v>
      </c>
      <c r="S147" s="1">
        <v>174529</v>
      </c>
      <c r="T147" s="1">
        <v>102533</v>
      </c>
      <c r="U147" s="1">
        <v>124341</v>
      </c>
      <c r="V147" s="1">
        <v>10640</v>
      </c>
      <c r="AA147" s="1">
        <v>171620</v>
      </c>
      <c r="AB147" s="1">
        <v>91893</v>
      </c>
      <c r="AC147" s="1">
        <v>118521</v>
      </c>
      <c r="AD147" s="1">
        <v>2219</v>
      </c>
      <c r="AT147">
        <v>7.08</v>
      </c>
      <c r="AU147">
        <v>63.66</v>
      </c>
      <c r="AV147">
        <v>4.13</v>
      </c>
    </row>
    <row r="148" spans="1:48" x14ac:dyDescent="0.2">
      <c r="A148" t="s">
        <v>616</v>
      </c>
      <c r="B148">
        <v>1090943</v>
      </c>
      <c r="C148" s="1">
        <v>1350</v>
      </c>
      <c r="D148" s="1">
        <v>225920</v>
      </c>
      <c r="E148" s="2" t="s">
        <v>617</v>
      </c>
      <c r="G148" s="1">
        <v>257364</v>
      </c>
      <c r="H148" s="1">
        <v>228738</v>
      </c>
      <c r="I148" s="1">
        <v>3660</v>
      </c>
      <c r="J148" s="1">
        <v>17288</v>
      </c>
      <c r="K148" s="1">
        <v>259961</v>
      </c>
      <c r="L148" s="1">
        <v>220231</v>
      </c>
      <c r="M148" s="1">
        <v>3500</v>
      </c>
      <c r="N148" s="1">
        <v>4823</v>
      </c>
      <c r="S148" s="1">
        <v>259179</v>
      </c>
      <c r="T148" s="1">
        <v>231879</v>
      </c>
      <c r="U148" s="1">
        <v>878</v>
      </c>
      <c r="V148" s="1">
        <v>1140</v>
      </c>
      <c r="W148" s="1">
        <v>263110</v>
      </c>
      <c r="X148" s="1">
        <v>235615</v>
      </c>
      <c r="Y148" s="1">
        <v>941</v>
      </c>
      <c r="Z148" s="1">
        <v>5683</v>
      </c>
      <c r="AA148" s="1">
        <v>257364</v>
      </c>
      <c r="AB148" s="1">
        <v>228738</v>
      </c>
      <c r="AC148" s="1">
        <v>900</v>
      </c>
      <c r="AD148" s="1">
        <v>2928</v>
      </c>
      <c r="AE148" s="1">
        <v>258544</v>
      </c>
      <c r="AF148" s="1">
        <v>230312</v>
      </c>
      <c r="AG148" s="1">
        <v>912</v>
      </c>
      <c r="AH148" s="1">
        <v>6562</v>
      </c>
      <c r="AT148">
        <v>-3.74</v>
      </c>
      <c r="AU148">
        <v>-3.99</v>
      </c>
      <c r="AV148">
        <v>7.82</v>
      </c>
    </row>
    <row r="149" spans="1:48" x14ac:dyDescent="0.2">
      <c r="A149" t="s">
        <v>500</v>
      </c>
      <c r="B149">
        <v>1178284</v>
      </c>
      <c r="C149" s="1">
        <v>337.7</v>
      </c>
      <c r="D149" s="1">
        <v>51740</v>
      </c>
      <c r="E149" s="2" t="s">
        <v>501</v>
      </c>
      <c r="G149" s="1">
        <v>124290</v>
      </c>
      <c r="H149" s="1">
        <v>47149</v>
      </c>
      <c r="I149" s="1">
        <v>112107</v>
      </c>
      <c r="J149" s="1">
        <v>1741</v>
      </c>
      <c r="K149" s="1">
        <v>69478</v>
      </c>
      <c r="L149" s="1">
        <v>45259</v>
      </c>
      <c r="M149" s="1">
        <v>82865</v>
      </c>
      <c r="N149" s="1">
        <v>4862</v>
      </c>
      <c r="S149" s="1">
        <v>112275</v>
      </c>
      <c r="T149" s="1">
        <v>48753</v>
      </c>
      <c r="U149" s="1">
        <v>92537</v>
      </c>
      <c r="V149" s="1">
        <v>1389</v>
      </c>
      <c r="AA149" s="1">
        <v>124290</v>
      </c>
      <c r="AB149" s="1">
        <v>47149</v>
      </c>
      <c r="AC149" s="1">
        <v>54984</v>
      </c>
      <c r="AD149" s="1">
        <v>295</v>
      </c>
      <c r="AT149">
        <v>-2.68</v>
      </c>
      <c r="AU149">
        <v>-18.37</v>
      </c>
      <c r="AV149">
        <v>-33.119999999999997</v>
      </c>
    </row>
    <row r="150" spans="1:48" x14ac:dyDescent="0.2">
      <c r="A150" t="s">
        <v>168</v>
      </c>
      <c r="B150">
        <v>299016</v>
      </c>
      <c r="C150" s="1">
        <v>1095</v>
      </c>
      <c r="D150" s="1">
        <v>110843</v>
      </c>
      <c r="E150" s="2" t="s">
        <v>169</v>
      </c>
      <c r="G150" s="1">
        <v>59392</v>
      </c>
      <c r="H150" s="1">
        <v>39808</v>
      </c>
      <c r="I150" s="1">
        <v>54044</v>
      </c>
      <c r="J150" s="1">
        <v>16184</v>
      </c>
      <c r="K150" s="1">
        <v>38243</v>
      </c>
      <c r="L150" s="1">
        <v>31212</v>
      </c>
      <c r="M150" s="1">
        <v>31115</v>
      </c>
      <c r="N150" s="1">
        <v>5939</v>
      </c>
      <c r="S150" s="1">
        <v>35976</v>
      </c>
      <c r="T150" s="1">
        <v>24303</v>
      </c>
      <c r="U150" s="1">
        <v>10963</v>
      </c>
      <c r="V150" s="1">
        <v>-1496</v>
      </c>
      <c r="AA150" s="1">
        <v>59392</v>
      </c>
      <c r="AB150" s="1">
        <v>39808</v>
      </c>
      <c r="AC150" s="1">
        <v>47287</v>
      </c>
      <c r="AD150" s="1">
        <v>18248</v>
      </c>
      <c r="AT150">
        <v>-0.53</v>
      </c>
      <c r="AU150">
        <v>65.099999999999994</v>
      </c>
      <c r="AV150">
        <v>360.71</v>
      </c>
    </row>
    <row r="151" spans="1:48" x14ac:dyDescent="0.2">
      <c r="A151" t="s">
        <v>97</v>
      </c>
      <c r="B151">
        <v>282012</v>
      </c>
      <c r="C151" s="1">
        <v>5944</v>
      </c>
      <c r="D151" s="1">
        <v>299365</v>
      </c>
      <c r="E151" s="2" t="s">
        <v>98</v>
      </c>
      <c r="G151" s="1">
        <v>331671</v>
      </c>
      <c r="H151" s="1">
        <v>117149</v>
      </c>
      <c r="I151" s="1">
        <v>303062</v>
      </c>
      <c r="J151" s="1">
        <v>24944</v>
      </c>
      <c r="K151" s="1">
        <v>229602</v>
      </c>
      <c r="L151" s="1">
        <v>95779</v>
      </c>
      <c r="M151" s="1">
        <v>266316</v>
      </c>
      <c r="N151" s="1">
        <v>6205</v>
      </c>
      <c r="S151" s="1">
        <v>307293</v>
      </c>
      <c r="T151" s="1">
        <v>109429</v>
      </c>
      <c r="U151" s="1">
        <v>158499</v>
      </c>
      <c r="V151" s="1">
        <v>5830</v>
      </c>
      <c r="AA151" s="1">
        <v>331671</v>
      </c>
      <c r="AB151" s="1">
        <v>117149</v>
      </c>
      <c r="AC151" s="1">
        <v>174972</v>
      </c>
      <c r="AD151" s="1">
        <v>19663</v>
      </c>
      <c r="AT151">
        <v>-34.630000000000003</v>
      </c>
      <c r="AU151">
        <v>97.96</v>
      </c>
      <c r="AV151">
        <v>395.82</v>
      </c>
    </row>
    <row r="152" spans="1:48" x14ac:dyDescent="0.2">
      <c r="A152" t="s">
        <v>134</v>
      </c>
      <c r="B152">
        <v>654012</v>
      </c>
      <c r="C152" s="1">
        <v>2121</v>
      </c>
      <c r="D152" s="1">
        <v>138466</v>
      </c>
      <c r="E152" s="2" t="s">
        <v>135</v>
      </c>
      <c r="G152" s="1">
        <v>170992</v>
      </c>
      <c r="H152" s="1">
        <v>94639</v>
      </c>
      <c r="I152" s="1">
        <v>323567</v>
      </c>
      <c r="J152" s="1">
        <v>10706</v>
      </c>
      <c r="K152" s="1">
        <v>172241</v>
      </c>
      <c r="L152" s="1">
        <v>94708</v>
      </c>
      <c r="M152" s="1">
        <v>332654</v>
      </c>
      <c r="N152" s="1">
        <v>6540</v>
      </c>
      <c r="S152" s="1">
        <v>159497</v>
      </c>
      <c r="T152" s="1">
        <v>95589</v>
      </c>
      <c r="U152" s="1">
        <v>168044</v>
      </c>
      <c r="V152" s="1">
        <v>4950</v>
      </c>
      <c r="AA152" s="1">
        <v>170992</v>
      </c>
      <c r="AB152" s="1">
        <v>94639</v>
      </c>
      <c r="AC152" s="1">
        <v>164723</v>
      </c>
      <c r="AD152" s="1">
        <v>2832</v>
      </c>
      <c r="AT152">
        <v>21.76</v>
      </c>
      <c r="AU152">
        <v>34.590000000000003</v>
      </c>
      <c r="AV152">
        <v>42.96</v>
      </c>
    </row>
    <row r="153" spans="1:48" x14ac:dyDescent="0.2">
      <c r="A153" t="s">
        <v>571</v>
      </c>
      <c r="B153">
        <v>1182260</v>
      </c>
      <c r="C153" s="1">
        <v>87.9</v>
      </c>
      <c r="D153" s="1">
        <v>6712</v>
      </c>
      <c r="E153" s="2" t="s">
        <v>572</v>
      </c>
      <c r="G153" s="1">
        <v>2439.84</v>
      </c>
      <c r="H153" s="1">
        <v>981.04</v>
      </c>
      <c r="J153" s="1">
        <v>-1134.22</v>
      </c>
      <c r="K153" s="1">
        <v>4327.01</v>
      </c>
      <c r="L153" s="1">
        <v>2092.7800000000002</v>
      </c>
      <c r="M153" s="1">
        <v>674.62</v>
      </c>
      <c r="N153" s="1">
        <v>7199.6</v>
      </c>
      <c r="S153" s="1">
        <v>1905.18</v>
      </c>
      <c r="T153" s="1">
        <v>566.5</v>
      </c>
      <c r="V153" s="1">
        <v>-340.57</v>
      </c>
      <c r="AA153" s="1">
        <v>2439.84</v>
      </c>
      <c r="AB153" s="1">
        <v>981.04</v>
      </c>
      <c r="AD153" s="1">
        <v>-678.34</v>
      </c>
      <c r="AT153">
        <v>-1.79</v>
      </c>
      <c r="AU153">
        <v>14.9</v>
      </c>
      <c r="AV153">
        <v>-62.64</v>
      </c>
    </row>
    <row r="154" spans="1:48" x14ac:dyDescent="0.2">
      <c r="A154" t="s">
        <v>558</v>
      </c>
      <c r="B154">
        <v>1187640</v>
      </c>
      <c r="C154" s="1">
        <v>504.6</v>
      </c>
      <c r="D154" s="1">
        <v>78390</v>
      </c>
      <c r="E154" s="2" t="s">
        <v>559</v>
      </c>
      <c r="G154" s="1">
        <v>78982</v>
      </c>
      <c r="H154" s="1">
        <v>28579</v>
      </c>
      <c r="I154" s="1">
        <v>66381</v>
      </c>
      <c r="J154" s="1">
        <v>-4083</v>
      </c>
      <c r="K154" s="1">
        <v>98649</v>
      </c>
      <c r="L154" s="1">
        <v>34541</v>
      </c>
      <c r="M154" s="1">
        <v>93116</v>
      </c>
      <c r="N154" s="1">
        <v>7963</v>
      </c>
      <c r="S154" s="1">
        <v>80422</v>
      </c>
      <c r="T154" s="1">
        <v>28700</v>
      </c>
      <c r="U154" s="1">
        <v>34394</v>
      </c>
      <c r="V154" s="1">
        <v>-37</v>
      </c>
      <c r="AA154" s="1">
        <v>78982</v>
      </c>
      <c r="AB154" s="1">
        <v>28579</v>
      </c>
      <c r="AC154" s="1">
        <v>35659</v>
      </c>
      <c r="AD154" s="1">
        <v>-2026</v>
      </c>
      <c r="AT154">
        <v>27.57</v>
      </c>
      <c r="AU154">
        <v>0.73</v>
      </c>
      <c r="AV154">
        <v>-22.62</v>
      </c>
    </row>
    <row r="155" spans="1:48" x14ac:dyDescent="0.2">
      <c r="A155" t="s">
        <v>164</v>
      </c>
      <c r="B155">
        <v>770016</v>
      </c>
      <c r="C155" s="1">
        <v>160.6</v>
      </c>
      <c r="D155" s="1">
        <v>310235</v>
      </c>
      <c r="E155" s="2" t="s">
        <v>165</v>
      </c>
      <c r="G155" s="1">
        <v>349988</v>
      </c>
      <c r="H155" s="1">
        <v>139549</v>
      </c>
      <c r="I155" s="1">
        <v>361383</v>
      </c>
      <c r="J155" s="1">
        <v>8852</v>
      </c>
      <c r="K155" s="1">
        <v>218378</v>
      </c>
      <c r="L155" s="1">
        <v>114635</v>
      </c>
      <c r="M155" s="1">
        <v>274457</v>
      </c>
      <c r="N155" s="1">
        <v>8443</v>
      </c>
      <c r="S155" s="1">
        <v>326608</v>
      </c>
      <c r="T155" s="1">
        <v>148215</v>
      </c>
      <c r="U155" s="1">
        <v>86422</v>
      </c>
      <c r="V155" s="1">
        <v>-2373</v>
      </c>
      <c r="W155" s="1">
        <v>349594</v>
      </c>
      <c r="X155" s="1">
        <v>145161</v>
      </c>
      <c r="Y155" s="1">
        <v>103124</v>
      </c>
      <c r="Z155" s="1">
        <v>1467</v>
      </c>
      <c r="AA155" s="1">
        <v>349988</v>
      </c>
      <c r="AB155" s="1">
        <v>139549</v>
      </c>
      <c r="AC155" s="1">
        <v>114978</v>
      </c>
      <c r="AD155" s="1">
        <v>3482</v>
      </c>
      <c r="AE155" s="1">
        <v>287835</v>
      </c>
      <c r="AF155" s="1">
        <v>119868</v>
      </c>
      <c r="AG155" s="1">
        <v>85623</v>
      </c>
      <c r="AH155" s="1">
        <v>1235</v>
      </c>
      <c r="AT155">
        <v>-24.99</v>
      </c>
      <c r="AU155">
        <v>13.68</v>
      </c>
      <c r="AV155">
        <v>46.61</v>
      </c>
    </row>
    <row r="156" spans="1:48" x14ac:dyDescent="0.2">
      <c r="A156" t="s">
        <v>374</v>
      </c>
      <c r="B156">
        <v>753012</v>
      </c>
      <c r="C156" s="1">
        <v>2156</v>
      </c>
      <c r="D156" s="1">
        <v>87903</v>
      </c>
      <c r="E156" s="2" t="s">
        <v>375</v>
      </c>
      <c r="G156" s="1">
        <v>510446</v>
      </c>
      <c r="H156" s="1">
        <v>232398</v>
      </c>
      <c r="I156" s="1">
        <v>30479</v>
      </c>
      <c r="J156" s="1">
        <v>5306</v>
      </c>
      <c r="K156" s="1">
        <v>486570</v>
      </c>
      <c r="L156" s="1">
        <v>226692</v>
      </c>
      <c r="M156" s="1">
        <v>24486</v>
      </c>
      <c r="N156" s="1">
        <v>8811</v>
      </c>
      <c r="S156" s="1">
        <v>491592</v>
      </c>
      <c r="T156" s="1">
        <v>227174</v>
      </c>
      <c r="U156" s="1">
        <v>16855</v>
      </c>
      <c r="V156" s="1">
        <v>1918</v>
      </c>
      <c r="AA156" s="1">
        <v>510446</v>
      </c>
      <c r="AB156" s="1">
        <v>232398</v>
      </c>
      <c r="AC156" s="1">
        <v>15741</v>
      </c>
      <c r="AD156" s="1">
        <v>3872</v>
      </c>
      <c r="AT156">
        <v>-4.3899999999999997</v>
      </c>
      <c r="AU156">
        <v>-16.04</v>
      </c>
      <c r="AV156">
        <v>-28.18</v>
      </c>
    </row>
    <row r="157" spans="1:48" x14ac:dyDescent="0.2">
      <c r="A157" t="s">
        <v>387</v>
      </c>
      <c r="B157">
        <v>1176981</v>
      </c>
      <c r="C157" s="1">
        <v>1783</v>
      </c>
      <c r="D157" s="1">
        <v>807205</v>
      </c>
      <c r="E157" s="2" t="s">
        <v>388</v>
      </c>
      <c r="G157" s="1">
        <v>990767</v>
      </c>
      <c r="H157" s="1">
        <v>108633</v>
      </c>
      <c r="J157" s="1">
        <v>50987</v>
      </c>
      <c r="K157" s="1">
        <v>1057390</v>
      </c>
      <c r="L157" s="1">
        <v>69283</v>
      </c>
      <c r="N157" s="1">
        <v>9158</v>
      </c>
      <c r="S157" s="1">
        <v>1099397</v>
      </c>
      <c r="T157" s="1">
        <v>148112</v>
      </c>
      <c r="V157" s="1">
        <v>23011</v>
      </c>
      <c r="W157" s="1">
        <v>1043634</v>
      </c>
      <c r="X157" s="1">
        <v>125101</v>
      </c>
      <c r="Z157" s="1">
        <v>16468</v>
      </c>
      <c r="AA157" s="1">
        <v>990767</v>
      </c>
      <c r="AB157" s="1">
        <v>108633</v>
      </c>
      <c r="AD157" s="1">
        <v>13592</v>
      </c>
      <c r="AE157" s="1">
        <v>1319049</v>
      </c>
      <c r="AF157" s="1">
        <v>104898</v>
      </c>
      <c r="AH157" s="1">
        <v>11148</v>
      </c>
      <c r="AT157">
        <v>3.97</v>
      </c>
      <c r="AU157">
        <v>113.11</v>
      </c>
      <c r="AV157">
        <v>390.57</v>
      </c>
    </row>
    <row r="158" spans="1:48" x14ac:dyDescent="0.2">
      <c r="A158" t="s">
        <v>100</v>
      </c>
      <c r="B158">
        <v>174011</v>
      </c>
      <c r="C158" s="1">
        <v>8118</v>
      </c>
      <c r="D158" s="1">
        <v>167163</v>
      </c>
      <c r="E158" s="2" t="s">
        <v>101</v>
      </c>
      <c r="G158" s="1">
        <v>327544</v>
      </c>
      <c r="H158" s="1">
        <v>257413</v>
      </c>
      <c r="I158" s="1">
        <v>19006</v>
      </c>
      <c r="J158" s="1">
        <v>9441</v>
      </c>
      <c r="K158" s="1">
        <v>370515</v>
      </c>
      <c r="L158" s="1">
        <v>248958</v>
      </c>
      <c r="M158" s="1">
        <v>19051</v>
      </c>
      <c r="N158" s="1">
        <v>9318</v>
      </c>
      <c r="S158" s="1">
        <v>328428</v>
      </c>
      <c r="T158" s="1">
        <v>260374</v>
      </c>
      <c r="U158" s="1">
        <v>9581</v>
      </c>
      <c r="V158" s="1">
        <v>3976</v>
      </c>
      <c r="AA158" s="1">
        <v>327544</v>
      </c>
      <c r="AB158" s="1">
        <v>257413</v>
      </c>
      <c r="AC158" s="1">
        <v>9533</v>
      </c>
      <c r="AD158" s="1">
        <v>5633</v>
      </c>
      <c r="AT158">
        <v>12.36</v>
      </c>
      <c r="AU158">
        <v>26.73</v>
      </c>
      <c r="AV158">
        <v>7.58</v>
      </c>
    </row>
    <row r="159" spans="1:48" x14ac:dyDescent="0.2">
      <c r="A159" t="s">
        <v>618</v>
      </c>
      <c r="B159">
        <v>1199645</v>
      </c>
      <c r="C159" s="1">
        <v>1064</v>
      </c>
      <c r="D159" s="1">
        <v>315779</v>
      </c>
      <c r="E159" s="2" t="s">
        <v>619</v>
      </c>
      <c r="G159" s="1">
        <v>821805</v>
      </c>
      <c r="H159" s="1">
        <v>340751</v>
      </c>
      <c r="I159" s="1">
        <v>14838</v>
      </c>
      <c r="J159" s="1">
        <v>30176</v>
      </c>
      <c r="K159" s="1">
        <v>434464</v>
      </c>
      <c r="L159" s="1">
        <v>218137</v>
      </c>
      <c r="M159" s="1">
        <v>1905</v>
      </c>
      <c r="N159" s="1">
        <v>10396</v>
      </c>
      <c r="S159" s="1">
        <v>802470</v>
      </c>
      <c r="T159" s="1">
        <v>332030</v>
      </c>
      <c r="U159" s="1">
        <v>5663</v>
      </c>
      <c r="V159" s="1">
        <v>-6200</v>
      </c>
      <c r="W159" s="1">
        <v>823489</v>
      </c>
      <c r="X159" s="1">
        <v>338230</v>
      </c>
      <c r="Y159" s="1">
        <v>5428</v>
      </c>
      <c r="Z159" s="1">
        <v>-2521</v>
      </c>
      <c r="AA159" s="1">
        <v>821805</v>
      </c>
      <c r="AB159" s="1">
        <v>340751</v>
      </c>
      <c r="AC159" s="1">
        <v>5476</v>
      </c>
      <c r="AD159" s="1">
        <v>30712</v>
      </c>
      <c r="AE159" s="1">
        <v>730644</v>
      </c>
      <c r="AF159" s="1">
        <v>289886</v>
      </c>
      <c r="AG159" s="1">
        <v>4946</v>
      </c>
      <c r="AH159" s="1">
        <v>-10034</v>
      </c>
      <c r="AT159">
        <v>16.43</v>
      </c>
      <c r="AU159">
        <v>0</v>
      </c>
      <c r="AV159">
        <v>0</v>
      </c>
    </row>
    <row r="160" spans="1:48" x14ac:dyDescent="0.2">
      <c r="A160" t="s">
        <v>123</v>
      </c>
      <c r="B160">
        <v>1090364</v>
      </c>
      <c r="C160" s="1">
        <v>427.3</v>
      </c>
      <c r="D160" s="1">
        <v>82996</v>
      </c>
      <c r="E160" s="2" t="s">
        <v>124</v>
      </c>
      <c r="G160" s="1">
        <v>113680</v>
      </c>
      <c r="H160" s="1">
        <v>84247</v>
      </c>
      <c r="I160" s="1">
        <v>100811</v>
      </c>
      <c r="J160" s="1">
        <v>12726</v>
      </c>
      <c r="K160" s="1">
        <v>100700</v>
      </c>
      <c r="L160" s="1">
        <v>76313</v>
      </c>
      <c r="M160" s="1">
        <v>89391</v>
      </c>
      <c r="N160" s="1">
        <v>10908</v>
      </c>
      <c r="S160" s="1">
        <v>110093</v>
      </c>
      <c r="T160" s="1">
        <v>86620</v>
      </c>
      <c r="U160" s="1">
        <v>44510</v>
      </c>
      <c r="V160" s="1">
        <v>2614</v>
      </c>
      <c r="AA160" s="1">
        <v>113680</v>
      </c>
      <c r="AB160" s="1">
        <v>84247</v>
      </c>
      <c r="AC160" s="1">
        <v>49129</v>
      </c>
      <c r="AD160" s="1">
        <v>3595</v>
      </c>
      <c r="AT160">
        <v>-23.26</v>
      </c>
      <c r="AU160">
        <v>-44.89</v>
      </c>
      <c r="AV160">
        <v>27.07</v>
      </c>
    </row>
    <row r="161" spans="1:48" x14ac:dyDescent="0.2">
      <c r="A161" t="s">
        <v>119</v>
      </c>
      <c r="B161">
        <v>1136829</v>
      </c>
      <c r="C161" s="1">
        <v>1082</v>
      </c>
      <c r="D161" s="1">
        <v>519134</v>
      </c>
      <c r="E161" s="2" t="s">
        <v>120</v>
      </c>
      <c r="G161" s="1">
        <v>1385518</v>
      </c>
      <c r="H161" s="1">
        <v>241879</v>
      </c>
      <c r="I161" s="1">
        <v>298225</v>
      </c>
      <c r="J161" s="1">
        <v>1884</v>
      </c>
      <c r="K161" s="1">
        <v>1430766</v>
      </c>
      <c r="L161" s="1">
        <v>241975</v>
      </c>
      <c r="M161" s="1">
        <v>289942</v>
      </c>
      <c r="N161" s="1">
        <v>12439</v>
      </c>
      <c r="S161" s="1">
        <v>1493092</v>
      </c>
      <c r="T161" s="1">
        <v>303132</v>
      </c>
      <c r="U161" s="1">
        <v>80396</v>
      </c>
      <c r="V161" s="1">
        <v>1894</v>
      </c>
      <c r="W161" s="1">
        <v>1450006</v>
      </c>
      <c r="X161" s="1">
        <v>301398</v>
      </c>
      <c r="Y161" s="1">
        <v>75366</v>
      </c>
      <c r="Z161" s="1">
        <v>3382</v>
      </c>
      <c r="AA161" s="1">
        <v>1385518</v>
      </c>
      <c r="AB161" s="1">
        <v>241879</v>
      </c>
      <c r="AC161" s="1">
        <v>135138</v>
      </c>
      <c r="AD161" s="1">
        <v>1287</v>
      </c>
      <c r="AE161" s="1">
        <v>1386340</v>
      </c>
      <c r="AF161" s="1">
        <v>243029</v>
      </c>
      <c r="AG161" s="1">
        <v>57140</v>
      </c>
      <c r="AH161" s="1">
        <v>1503</v>
      </c>
      <c r="AT161">
        <v>-4.57</v>
      </c>
      <c r="AU161">
        <v>9.65</v>
      </c>
      <c r="AV161">
        <v>76.33</v>
      </c>
    </row>
    <row r="162" spans="1:48" x14ac:dyDescent="0.2">
      <c r="A162" t="s">
        <v>493</v>
      </c>
      <c r="B162">
        <v>1084953</v>
      </c>
      <c r="C162" s="1">
        <v>1652</v>
      </c>
      <c r="D162" s="1">
        <v>93494</v>
      </c>
      <c r="E162" s="2" t="s">
        <v>494</v>
      </c>
      <c r="G162" s="1">
        <v>130090</v>
      </c>
      <c r="H162" s="1">
        <v>67854</v>
      </c>
      <c r="I162" s="1">
        <v>92877</v>
      </c>
      <c r="J162" s="1">
        <v>11920</v>
      </c>
      <c r="K162" s="1">
        <v>112161</v>
      </c>
      <c r="L162" s="1">
        <v>64427</v>
      </c>
      <c r="M162" s="1">
        <v>98500</v>
      </c>
      <c r="N162" s="1">
        <v>13949</v>
      </c>
      <c r="S162" s="1">
        <v>124270</v>
      </c>
      <c r="T162" s="1">
        <v>59334</v>
      </c>
      <c r="U162" s="1">
        <v>13942</v>
      </c>
      <c r="V162" s="1">
        <v>-305</v>
      </c>
      <c r="W162" s="1">
        <v>131211</v>
      </c>
      <c r="X162" s="1">
        <v>64639</v>
      </c>
      <c r="Y162" s="1">
        <v>23168</v>
      </c>
      <c r="Z162" s="1">
        <v>1785</v>
      </c>
      <c r="AA162" s="1">
        <v>130090</v>
      </c>
      <c r="AB162" s="1">
        <v>67854</v>
      </c>
      <c r="AC162" s="1">
        <v>26404</v>
      </c>
      <c r="AD162" s="1">
        <v>5812</v>
      </c>
      <c r="AE162" s="1">
        <v>123941</v>
      </c>
      <c r="AF162" s="1">
        <v>65564</v>
      </c>
      <c r="AG162" s="1">
        <v>22998</v>
      </c>
      <c r="AH162" s="1">
        <v>3255</v>
      </c>
      <c r="AT162">
        <v>-24.07</v>
      </c>
      <c r="AU162">
        <v>28.19</v>
      </c>
      <c r="AV162">
        <v>31.56</v>
      </c>
    </row>
    <row r="163" spans="1:48" x14ac:dyDescent="0.2">
      <c r="A163" t="s">
        <v>125</v>
      </c>
      <c r="B163">
        <v>1217702</v>
      </c>
      <c r="C163" s="1">
        <v>1284</v>
      </c>
      <c r="D163" s="1">
        <v>662837</v>
      </c>
      <c r="E163" s="2" t="s">
        <v>126</v>
      </c>
      <c r="G163" s="1">
        <v>226540</v>
      </c>
      <c r="H163" s="1">
        <v>62446</v>
      </c>
      <c r="I163" s="1">
        <v>488084</v>
      </c>
      <c r="J163" s="1">
        <v>22640</v>
      </c>
      <c r="K163" s="1">
        <v>206345</v>
      </c>
      <c r="L163" s="1">
        <v>35219</v>
      </c>
      <c r="M163" s="1">
        <v>459013</v>
      </c>
      <c r="N163" s="1">
        <v>14552</v>
      </c>
      <c r="S163" s="1">
        <v>342040</v>
      </c>
      <c r="T163" s="1">
        <v>154378</v>
      </c>
      <c r="U163" s="1">
        <v>262860</v>
      </c>
      <c r="V163" s="1">
        <v>11814</v>
      </c>
      <c r="AA163" s="1">
        <v>226540</v>
      </c>
      <c r="AB163" s="1">
        <v>62446</v>
      </c>
      <c r="AC163" s="1">
        <v>252992</v>
      </c>
      <c r="AD163" s="1">
        <v>15106</v>
      </c>
      <c r="AT163">
        <v>15.89</v>
      </c>
      <c r="AU163">
        <v>0</v>
      </c>
      <c r="AV163">
        <v>0</v>
      </c>
    </row>
    <row r="164" spans="1:48" x14ac:dyDescent="0.2">
      <c r="A164" t="s">
        <v>391</v>
      </c>
      <c r="B164">
        <v>826016</v>
      </c>
      <c r="C164" s="1">
        <v>1323</v>
      </c>
      <c r="D164" s="1">
        <v>110723</v>
      </c>
      <c r="E164" s="2" t="s">
        <v>392</v>
      </c>
      <c r="G164" s="1">
        <v>115068</v>
      </c>
      <c r="H164" s="1">
        <v>67307</v>
      </c>
      <c r="I164" s="1">
        <v>168569</v>
      </c>
      <c r="J164" s="1">
        <v>14355</v>
      </c>
      <c r="K164" s="1">
        <v>120456</v>
      </c>
      <c r="L164" s="1">
        <v>60806</v>
      </c>
      <c r="M164" s="1">
        <v>184052</v>
      </c>
      <c r="N164" s="1">
        <v>15291</v>
      </c>
      <c r="S164" s="1">
        <v>114173</v>
      </c>
      <c r="T164" s="1">
        <v>67981</v>
      </c>
      <c r="U164" s="1">
        <v>73230</v>
      </c>
      <c r="V164" s="1">
        <v>5022</v>
      </c>
      <c r="AA164" s="1">
        <v>115068</v>
      </c>
      <c r="AB164" s="1">
        <v>67307</v>
      </c>
      <c r="AC164" s="1">
        <v>83511</v>
      </c>
      <c r="AD164" s="1">
        <v>5108</v>
      </c>
      <c r="AT164">
        <v>-6.94</v>
      </c>
      <c r="AU164">
        <v>-37.799999999999997</v>
      </c>
      <c r="AV164">
        <v>33.67</v>
      </c>
    </row>
    <row r="165" spans="1:48" x14ac:dyDescent="0.2">
      <c r="A165" t="s">
        <v>599</v>
      </c>
      <c r="B165">
        <v>526012</v>
      </c>
      <c r="C165" s="1">
        <v>573.6</v>
      </c>
      <c r="D165" s="1">
        <v>150116</v>
      </c>
      <c r="E165" s="2" t="s">
        <v>600</v>
      </c>
      <c r="G165" s="1">
        <v>514794</v>
      </c>
      <c r="H165" s="1">
        <v>315320</v>
      </c>
      <c r="I165" s="1">
        <v>7894</v>
      </c>
      <c r="J165" s="1">
        <v>44238</v>
      </c>
      <c r="K165" s="1">
        <v>497157</v>
      </c>
      <c r="L165" s="1">
        <v>257402</v>
      </c>
      <c r="M165" s="1">
        <v>8788</v>
      </c>
      <c r="N165" s="1">
        <v>15500</v>
      </c>
      <c r="S165" s="1">
        <v>522219</v>
      </c>
      <c r="T165" s="1">
        <v>288391</v>
      </c>
      <c r="U165" s="1">
        <v>4123</v>
      </c>
      <c r="V165" s="1">
        <v>-10665</v>
      </c>
      <c r="AA165" s="1">
        <v>514794</v>
      </c>
      <c r="AB165" s="1">
        <v>315320</v>
      </c>
      <c r="AC165" s="1">
        <v>4083</v>
      </c>
      <c r="AD165" s="1">
        <v>46664</v>
      </c>
      <c r="AT165">
        <v>-15.27</v>
      </c>
      <c r="AU165">
        <v>-24.23</v>
      </c>
      <c r="AV165">
        <v>16.920000000000002</v>
      </c>
    </row>
    <row r="166" spans="1:48" x14ac:dyDescent="0.2">
      <c r="A166" t="s">
        <v>239</v>
      </c>
      <c r="B166">
        <v>1122688</v>
      </c>
      <c r="C166" s="1">
        <v>1355</v>
      </c>
      <c r="D166" s="1">
        <v>136233</v>
      </c>
      <c r="E166" s="2" t="s">
        <v>240</v>
      </c>
      <c r="G166" s="1">
        <v>586373</v>
      </c>
      <c r="H166" s="1">
        <v>182983</v>
      </c>
      <c r="J166" s="1">
        <v>24697</v>
      </c>
      <c r="K166" s="1">
        <v>605173</v>
      </c>
      <c r="L166" s="1">
        <v>158286</v>
      </c>
      <c r="N166" s="1">
        <v>15695</v>
      </c>
      <c r="S166" s="1">
        <v>788264</v>
      </c>
      <c r="T166" s="1">
        <v>195245</v>
      </c>
      <c r="V166" s="1">
        <v>12167</v>
      </c>
      <c r="AA166" s="1">
        <v>586373</v>
      </c>
      <c r="AB166" s="1">
        <v>182983</v>
      </c>
      <c r="AD166" s="1">
        <v>14242</v>
      </c>
      <c r="AI166" s="1">
        <f>D166/E166</f>
        <v>47633.916083916083</v>
      </c>
      <c r="AJ166" s="1">
        <f>R166+V166+Z166+AD166</f>
        <v>26409</v>
      </c>
      <c r="AK166" s="8">
        <f>AJ166/AI166-1</f>
        <v>-0.4455841095769747</v>
      </c>
      <c r="AT166">
        <v>8.57</v>
      </c>
      <c r="AU166">
        <v>17.91</v>
      </c>
      <c r="AV166">
        <v>29.51</v>
      </c>
    </row>
    <row r="167" spans="1:48" x14ac:dyDescent="0.2">
      <c r="A167" t="s">
        <v>324</v>
      </c>
      <c r="B167">
        <v>1090141</v>
      </c>
      <c r="C167" s="1">
        <v>269.3</v>
      </c>
      <c r="D167" s="1">
        <v>211402</v>
      </c>
      <c r="E167" s="2" t="s">
        <v>325</v>
      </c>
      <c r="G167" s="1">
        <v>230012</v>
      </c>
      <c r="H167" s="1">
        <v>93684</v>
      </c>
      <c r="I167" s="1">
        <v>162765</v>
      </c>
      <c r="J167" s="1">
        <v>17258</v>
      </c>
      <c r="K167" s="1">
        <v>281579</v>
      </c>
      <c r="L167" s="1">
        <v>94103</v>
      </c>
      <c r="M167" s="1">
        <v>181772</v>
      </c>
      <c r="N167" s="1">
        <v>15750</v>
      </c>
      <c r="S167" s="1">
        <v>235454</v>
      </c>
      <c r="T167" s="1">
        <v>92945</v>
      </c>
      <c r="U167" s="1">
        <v>40480</v>
      </c>
      <c r="V167" s="1">
        <v>2063</v>
      </c>
      <c r="W167" s="1">
        <v>237837</v>
      </c>
      <c r="X167" s="1">
        <v>96434</v>
      </c>
      <c r="Y167" s="1">
        <v>43037</v>
      </c>
      <c r="Z167" s="1">
        <v>5488</v>
      </c>
      <c r="AA167" s="1">
        <v>230012</v>
      </c>
      <c r="AB167" s="1">
        <v>93684</v>
      </c>
      <c r="AC167" s="1">
        <v>40428</v>
      </c>
      <c r="AD167" s="1">
        <v>6259</v>
      </c>
      <c r="AE167" s="1">
        <v>226715</v>
      </c>
      <c r="AF167" s="1">
        <v>93228</v>
      </c>
      <c r="AG167" s="1">
        <v>42355</v>
      </c>
      <c r="AH167" s="1">
        <v>5536</v>
      </c>
      <c r="AT167">
        <v>-3.59</v>
      </c>
      <c r="AU167">
        <v>56.69</v>
      </c>
      <c r="AV167">
        <v>68.239999999999995</v>
      </c>
    </row>
    <row r="168" spans="1:48" x14ac:dyDescent="0.2">
      <c r="A168" t="s">
        <v>176</v>
      </c>
      <c r="B168">
        <v>1085265</v>
      </c>
      <c r="C168" s="1">
        <v>2879</v>
      </c>
      <c r="D168" s="1">
        <v>130196</v>
      </c>
      <c r="E168" s="2" t="s">
        <v>177</v>
      </c>
      <c r="G168" s="1">
        <v>192411</v>
      </c>
      <c r="H168" s="1">
        <v>104096</v>
      </c>
      <c r="I168" s="1">
        <v>218029</v>
      </c>
      <c r="J168" s="1">
        <v>6816</v>
      </c>
      <c r="K168" s="1">
        <v>227121</v>
      </c>
      <c r="L168" s="1">
        <v>96963</v>
      </c>
      <c r="M168" s="1">
        <v>171948</v>
      </c>
      <c r="N168" s="1">
        <v>16086</v>
      </c>
      <c r="S168" s="1">
        <v>193011</v>
      </c>
      <c r="T168" s="1">
        <v>101156</v>
      </c>
      <c r="U168" s="1">
        <v>133192</v>
      </c>
      <c r="V168" s="1">
        <v>5947</v>
      </c>
      <c r="AA168" s="1">
        <v>192411</v>
      </c>
      <c r="AB168" s="1">
        <v>104096</v>
      </c>
      <c r="AC168" s="1">
        <v>116866</v>
      </c>
      <c r="AD168" s="1">
        <v>4752</v>
      </c>
      <c r="AT168">
        <v>21.24</v>
      </c>
      <c r="AU168">
        <v>90.14</v>
      </c>
      <c r="AV168">
        <v>40.46</v>
      </c>
    </row>
    <row r="169" spans="1:48" x14ac:dyDescent="0.2">
      <c r="A169" t="s">
        <v>198</v>
      </c>
      <c r="B169">
        <v>235010</v>
      </c>
      <c r="C169" s="1">
        <v>1154</v>
      </c>
      <c r="D169" s="1">
        <v>179061</v>
      </c>
      <c r="E169" s="2" t="s">
        <v>199</v>
      </c>
      <c r="G169" s="1">
        <v>655500</v>
      </c>
      <c r="H169" s="1">
        <v>458680</v>
      </c>
      <c r="I169" s="1">
        <v>39820</v>
      </c>
      <c r="J169" s="1">
        <v>115624</v>
      </c>
      <c r="K169" s="1">
        <v>629951</v>
      </c>
      <c r="L169" s="1">
        <v>350599</v>
      </c>
      <c r="M169" s="1">
        <v>54296</v>
      </c>
      <c r="N169" s="1">
        <v>16147</v>
      </c>
      <c r="S169" s="1">
        <v>403112</v>
      </c>
      <c r="T169" s="1">
        <v>266019</v>
      </c>
      <c r="U169" s="1">
        <v>11107</v>
      </c>
      <c r="V169" s="1">
        <v>102</v>
      </c>
      <c r="W169" s="1">
        <v>659012</v>
      </c>
      <c r="X169" s="1">
        <v>265917</v>
      </c>
      <c r="Y169" s="1">
        <v>11262</v>
      </c>
      <c r="Z169" s="1">
        <v>2237</v>
      </c>
      <c r="AA169" s="1">
        <v>655500</v>
      </c>
      <c r="AB169" s="1">
        <v>458680</v>
      </c>
      <c r="AC169" s="1">
        <v>11308</v>
      </c>
      <c r="AD169" s="1">
        <v>-616</v>
      </c>
      <c r="AE169" s="1">
        <v>708692</v>
      </c>
      <c r="AF169" s="1">
        <v>479124</v>
      </c>
      <c r="AG169" s="1">
        <v>9616</v>
      </c>
      <c r="AH169" s="1">
        <v>109017</v>
      </c>
      <c r="AI169" s="1">
        <f>D169/E169</f>
        <v>114051.59235668789</v>
      </c>
      <c r="AJ169" s="1">
        <f>R169+V169+Z169+AD169</f>
        <v>1723</v>
      </c>
      <c r="AK169" s="8">
        <f>AJ169/AI169-1</f>
        <v>-0.98489280189432649</v>
      </c>
      <c r="AT169">
        <v>-11.55</v>
      </c>
      <c r="AU169">
        <v>3.86</v>
      </c>
      <c r="AV169">
        <v>90.98</v>
      </c>
    </row>
    <row r="170" spans="1:48" x14ac:dyDescent="0.2">
      <c r="A170" t="s">
        <v>566</v>
      </c>
      <c r="B170">
        <v>386011</v>
      </c>
      <c r="C170" s="1">
        <v>823.3</v>
      </c>
      <c r="D170" s="1">
        <v>247211</v>
      </c>
      <c r="E170" s="2" t="s">
        <v>567</v>
      </c>
      <c r="G170" s="1">
        <v>204853</v>
      </c>
      <c r="H170" s="1">
        <v>102874</v>
      </c>
      <c r="I170" s="1">
        <v>134103</v>
      </c>
      <c r="J170" s="1">
        <v>20343</v>
      </c>
      <c r="K170" s="1">
        <v>202598</v>
      </c>
      <c r="L170" s="1">
        <v>91266</v>
      </c>
      <c r="M170" s="1">
        <v>125385</v>
      </c>
      <c r="N170" s="1">
        <v>16617</v>
      </c>
      <c r="S170" s="1">
        <v>213210</v>
      </c>
      <c r="T170" s="1">
        <v>108089</v>
      </c>
      <c r="U170" s="1">
        <v>55237</v>
      </c>
      <c r="V170" s="1">
        <v>11874</v>
      </c>
      <c r="AA170" s="1">
        <v>204853</v>
      </c>
      <c r="AB170" s="1">
        <v>102874</v>
      </c>
      <c r="AC170" s="1">
        <v>76602</v>
      </c>
      <c r="AD170" s="1">
        <v>17287</v>
      </c>
      <c r="AT170">
        <v>6.81</v>
      </c>
      <c r="AU170">
        <v>95.21</v>
      </c>
      <c r="AV170">
        <v>169.43</v>
      </c>
    </row>
    <row r="171" spans="1:48" x14ac:dyDescent="0.2">
      <c r="A171" t="s">
        <v>648</v>
      </c>
      <c r="B171">
        <v>1129493</v>
      </c>
      <c r="C171" s="1">
        <v>2342</v>
      </c>
      <c r="D171" s="1">
        <v>468423</v>
      </c>
      <c r="E171" s="2" t="s">
        <v>649</v>
      </c>
      <c r="G171" s="1">
        <v>651368.80000000005</v>
      </c>
      <c r="H171" s="1">
        <v>343102.47</v>
      </c>
      <c r="I171" s="1">
        <v>99431.81</v>
      </c>
      <c r="J171" s="1">
        <v>9496.7900000000009</v>
      </c>
      <c r="K171" s="1">
        <v>587291.11</v>
      </c>
      <c r="L171" s="1">
        <v>358978.71</v>
      </c>
      <c r="M171" s="1">
        <v>82644.820000000007</v>
      </c>
      <c r="N171" s="1">
        <v>16822.03</v>
      </c>
      <c r="S171" s="1">
        <v>585726.51</v>
      </c>
      <c r="T171" s="1">
        <v>313788.2</v>
      </c>
      <c r="U171" s="1">
        <v>23351.1</v>
      </c>
      <c r="V171" s="1">
        <v>8116.4</v>
      </c>
      <c r="W171" s="1">
        <v>648679.44999999995</v>
      </c>
      <c r="X171" s="1">
        <v>337036.69</v>
      </c>
      <c r="Y171" s="1">
        <v>26089.21</v>
      </c>
      <c r="Z171" s="1">
        <v>2126.6999999999998</v>
      </c>
      <c r="AA171" s="1">
        <v>651368.80000000005</v>
      </c>
      <c r="AB171" s="1">
        <v>343102.47</v>
      </c>
      <c r="AC171" s="1">
        <v>25259.119999999999</v>
      </c>
      <c r="AD171" s="1">
        <v>-361.05</v>
      </c>
      <c r="AE171" s="1">
        <v>664954.43999999994</v>
      </c>
      <c r="AF171" s="1">
        <v>358671.67</v>
      </c>
      <c r="AG171" s="1">
        <v>27906.62</v>
      </c>
      <c r="AH171" s="1">
        <v>6147.47</v>
      </c>
      <c r="AT171">
        <v>10.77</v>
      </c>
      <c r="AU171">
        <v>53.28</v>
      </c>
      <c r="AV171">
        <v>216.97</v>
      </c>
    </row>
    <row r="172" spans="1:48" x14ac:dyDescent="0.2">
      <c r="A172" t="s">
        <v>522</v>
      </c>
      <c r="B172">
        <v>745018</v>
      </c>
      <c r="C172" s="1">
        <v>5452</v>
      </c>
      <c r="D172" s="1">
        <v>280605</v>
      </c>
      <c r="E172" s="2" t="s">
        <v>523</v>
      </c>
      <c r="G172" s="1">
        <v>186901</v>
      </c>
      <c r="H172" s="1">
        <v>181774</v>
      </c>
      <c r="I172" s="1">
        <v>30002</v>
      </c>
      <c r="J172" s="1">
        <v>19303</v>
      </c>
      <c r="K172" s="1">
        <v>170689</v>
      </c>
      <c r="L172" s="1">
        <v>162471</v>
      </c>
      <c r="M172" s="1">
        <v>28646</v>
      </c>
      <c r="N172" s="1">
        <v>16840</v>
      </c>
      <c r="S172" s="1">
        <v>196947</v>
      </c>
      <c r="T172" s="1">
        <v>191920</v>
      </c>
      <c r="U172" s="1">
        <v>15214</v>
      </c>
      <c r="V172" s="1">
        <v>10146</v>
      </c>
      <c r="AA172" s="1">
        <v>186901</v>
      </c>
      <c r="AB172" s="1">
        <v>181774</v>
      </c>
      <c r="AC172" s="1">
        <v>15532</v>
      </c>
      <c r="AD172" s="1">
        <v>8366</v>
      </c>
      <c r="AT172">
        <v>6.05</v>
      </c>
      <c r="AU172">
        <v>26.75</v>
      </c>
      <c r="AV172">
        <v>65.22</v>
      </c>
    </row>
    <row r="173" spans="1:48" x14ac:dyDescent="0.2">
      <c r="A173" t="s">
        <v>146</v>
      </c>
      <c r="B173">
        <v>550012</v>
      </c>
      <c r="C173" s="1">
        <v>5514</v>
      </c>
      <c r="D173" s="1">
        <v>264087</v>
      </c>
      <c r="E173" s="2" t="s">
        <v>147</v>
      </c>
      <c r="G173" s="1">
        <v>198031</v>
      </c>
      <c r="H173" s="1">
        <v>147697</v>
      </c>
      <c r="I173" s="1">
        <v>179938</v>
      </c>
      <c r="J173" s="1">
        <v>21336</v>
      </c>
      <c r="K173" s="1">
        <v>184148</v>
      </c>
      <c r="L173" s="1">
        <v>126060</v>
      </c>
      <c r="M173" s="1">
        <v>170732</v>
      </c>
      <c r="N173" s="1">
        <v>18398</v>
      </c>
      <c r="S173" s="1">
        <v>198871</v>
      </c>
      <c r="T173" s="1">
        <v>149862</v>
      </c>
      <c r="U173" s="1">
        <v>104470</v>
      </c>
      <c r="V173" s="1">
        <v>10204</v>
      </c>
      <c r="AA173" s="1">
        <v>198031</v>
      </c>
      <c r="AB173" s="1">
        <v>147697</v>
      </c>
      <c r="AC173" s="1">
        <v>90225</v>
      </c>
      <c r="AD173" s="1">
        <v>11256</v>
      </c>
      <c r="AT173">
        <v>-0.04</v>
      </c>
      <c r="AU173">
        <v>41.14</v>
      </c>
      <c r="AV173">
        <v>83.71</v>
      </c>
    </row>
    <row r="174" spans="1:48" x14ac:dyDescent="0.2">
      <c r="A174" s="10" t="s">
        <v>652</v>
      </c>
      <c r="B174">
        <v>1105022</v>
      </c>
      <c r="C174" s="1">
        <v>5387</v>
      </c>
      <c r="D174" s="1">
        <v>542103</v>
      </c>
      <c r="E174" s="2" t="s">
        <v>653</v>
      </c>
      <c r="G174" s="1">
        <v>476683</v>
      </c>
      <c r="H174" s="1">
        <v>176144</v>
      </c>
      <c r="I174" s="1">
        <v>1330722</v>
      </c>
      <c r="J174" s="1">
        <v>27996</v>
      </c>
      <c r="K174" s="1">
        <v>418653</v>
      </c>
      <c r="L174" s="1">
        <v>164737</v>
      </c>
      <c r="M174" s="1">
        <v>1197100</v>
      </c>
      <c r="N174" s="1">
        <v>18736</v>
      </c>
      <c r="Q174" s="13"/>
      <c r="R174" s="13"/>
      <c r="S174" s="1">
        <v>539822</v>
      </c>
      <c r="T174" s="1">
        <v>188371</v>
      </c>
      <c r="U174" s="1">
        <v>384778</v>
      </c>
      <c r="V174" s="1">
        <v>10525</v>
      </c>
      <c r="W174" s="1">
        <v>507046</v>
      </c>
      <c r="X174" s="1">
        <v>182925</v>
      </c>
      <c r="Y174" s="1">
        <v>358498</v>
      </c>
      <c r="Z174" s="1">
        <v>9755</v>
      </c>
      <c r="AA174" s="1">
        <v>476683</v>
      </c>
      <c r="AB174" s="1">
        <v>176144</v>
      </c>
      <c r="AC174" s="1">
        <v>328187</v>
      </c>
      <c r="AD174" s="1">
        <v>500</v>
      </c>
      <c r="AE174" s="1">
        <v>470955</v>
      </c>
      <c r="AF174" s="1">
        <v>179213</v>
      </c>
      <c r="AG174" s="1">
        <v>340776</v>
      </c>
      <c r="AH174" s="1">
        <v>7970</v>
      </c>
      <c r="AI174" s="1">
        <f t="shared" ref="AI174" si="24">D174/E174</f>
        <v>28743.53128313892</v>
      </c>
      <c r="AJ174" s="1">
        <f t="shared" ref="AJ174" si="25">R174+V174+Z174+AD174</f>
        <v>20780</v>
      </c>
      <c r="AK174" s="8">
        <f t="shared" ref="AK174" si="26">AJ174/AI174-1</f>
        <v>-0.27705472945178322</v>
      </c>
      <c r="AL174" s="9">
        <f t="shared" ref="AL174" si="27">(Y174+U174+Q174)/3*4</f>
        <v>991034.66666666663</v>
      </c>
      <c r="AM174" s="8">
        <f t="shared" ref="AM174" si="28">AL174/I174-1</f>
        <v>-0.25526543735906781</v>
      </c>
      <c r="AN174" s="9">
        <f t="shared" ref="AN174" si="29">(Z174+V174+R174)/3*4</f>
        <v>27040</v>
      </c>
      <c r="AO174" s="8">
        <f t="shared" ref="AO174" si="30">AN174/J174-1</f>
        <v>-3.4147735390770095E-2</v>
      </c>
      <c r="AP174" s="8">
        <f t="shared" ref="AP174" si="31">AN174/AI174-1</f>
        <v>-5.9266596938220339E-2</v>
      </c>
      <c r="AT174">
        <v>-2.67</v>
      </c>
      <c r="AU174">
        <v>1.61</v>
      </c>
      <c r="AV174">
        <v>38.229999999999997</v>
      </c>
    </row>
    <row r="175" spans="1:48" x14ac:dyDescent="0.2">
      <c r="A175" t="s">
        <v>490</v>
      </c>
      <c r="B175">
        <v>1140300</v>
      </c>
      <c r="C175" s="1">
        <v>981.2</v>
      </c>
      <c r="D175" s="1">
        <v>83210</v>
      </c>
      <c r="E175" s="2" t="s">
        <v>491</v>
      </c>
      <c r="G175" s="1">
        <v>112228</v>
      </c>
      <c r="H175" s="1">
        <v>85856</v>
      </c>
      <c r="I175" s="1">
        <v>87696</v>
      </c>
      <c r="J175" s="1">
        <v>2874</v>
      </c>
      <c r="K175" s="1">
        <v>118820</v>
      </c>
      <c r="L175" s="1">
        <v>82567</v>
      </c>
      <c r="M175" s="1">
        <v>130019</v>
      </c>
      <c r="N175" s="1">
        <v>20516</v>
      </c>
      <c r="S175" s="1">
        <v>99107</v>
      </c>
      <c r="T175" s="1">
        <v>74460</v>
      </c>
      <c r="U175" s="1">
        <v>33581</v>
      </c>
      <c r="V175" s="1">
        <v>-5250</v>
      </c>
      <c r="AA175" s="1">
        <v>112228</v>
      </c>
      <c r="AB175" s="1">
        <v>85856</v>
      </c>
      <c r="AC175" s="1">
        <v>41201</v>
      </c>
      <c r="AD175" s="1">
        <v>2684</v>
      </c>
      <c r="AT175">
        <v>-3.26</v>
      </c>
      <c r="AU175">
        <v>-7.35</v>
      </c>
      <c r="AV175">
        <v>-39.56</v>
      </c>
    </row>
    <row r="176" spans="1:48" x14ac:dyDescent="0.2">
      <c r="A176" t="s">
        <v>514</v>
      </c>
      <c r="B176">
        <v>1092204</v>
      </c>
      <c r="C176" s="1">
        <v>3340</v>
      </c>
      <c r="D176" s="1">
        <v>425350</v>
      </c>
      <c r="E176" s="2" t="s">
        <v>515</v>
      </c>
      <c r="G176" s="1">
        <v>908324</v>
      </c>
      <c r="H176" s="1">
        <v>392743</v>
      </c>
      <c r="I176" s="1">
        <v>1253631</v>
      </c>
      <c r="J176" s="1">
        <v>44694</v>
      </c>
      <c r="K176" s="1">
        <v>880360</v>
      </c>
      <c r="L176" s="1">
        <v>358047</v>
      </c>
      <c r="M176" s="1">
        <v>1248636</v>
      </c>
      <c r="N176" s="1">
        <v>20816</v>
      </c>
      <c r="S176" s="1">
        <v>977924</v>
      </c>
      <c r="T176" s="1">
        <v>402176</v>
      </c>
      <c r="U176" s="1">
        <v>357908</v>
      </c>
      <c r="V176" s="1">
        <v>12722</v>
      </c>
      <c r="W176" s="1">
        <v>904308</v>
      </c>
      <c r="X176" s="1">
        <v>388737</v>
      </c>
      <c r="Y176" s="1">
        <v>274170</v>
      </c>
      <c r="Z176" s="1">
        <v>10403</v>
      </c>
      <c r="AA176" s="1">
        <v>908324</v>
      </c>
      <c r="AB176" s="1">
        <v>392743</v>
      </c>
      <c r="AC176" s="1">
        <v>304024</v>
      </c>
      <c r="AD176" s="1">
        <v>14845</v>
      </c>
      <c r="AE176" s="1">
        <v>898847</v>
      </c>
      <c r="AF176" s="1">
        <v>377915</v>
      </c>
      <c r="AG176" s="1">
        <v>324956</v>
      </c>
      <c r="AH176" s="1">
        <v>5715</v>
      </c>
      <c r="AT176">
        <v>3.95</v>
      </c>
      <c r="AU176">
        <v>15.06</v>
      </c>
      <c r="AV176">
        <v>19.63</v>
      </c>
    </row>
    <row r="177" spans="1:48" x14ac:dyDescent="0.2">
      <c r="A177" t="s">
        <v>42</v>
      </c>
      <c r="B177">
        <v>444018</v>
      </c>
      <c r="C177" s="1">
        <v>2011</v>
      </c>
      <c r="D177" s="1">
        <v>266427</v>
      </c>
      <c r="E177" s="2" t="s">
        <v>43</v>
      </c>
      <c r="G177" s="1">
        <v>1176303</v>
      </c>
      <c r="H177" s="1">
        <v>366524</v>
      </c>
      <c r="I177" s="1">
        <v>370502</v>
      </c>
      <c r="J177" s="1">
        <v>33375</v>
      </c>
      <c r="K177" s="1">
        <v>975842</v>
      </c>
      <c r="L177" s="1">
        <v>333872</v>
      </c>
      <c r="M177" s="1">
        <v>278676</v>
      </c>
      <c r="N177" s="1">
        <v>23184</v>
      </c>
      <c r="S177" s="1">
        <v>1102300</v>
      </c>
      <c r="T177" s="1">
        <v>363954</v>
      </c>
      <c r="U177" s="1">
        <v>33706</v>
      </c>
      <c r="V177" s="1">
        <v>-882</v>
      </c>
      <c r="W177" s="1">
        <v>1111322</v>
      </c>
      <c r="X177" s="1">
        <v>364993</v>
      </c>
      <c r="Y177" s="1">
        <v>68602</v>
      </c>
      <c r="Z177" s="1">
        <v>4651</v>
      </c>
      <c r="AA177" s="1">
        <v>1176303</v>
      </c>
      <c r="AB177" s="1">
        <v>366524</v>
      </c>
      <c r="AC177" s="1">
        <v>89565</v>
      </c>
      <c r="AD177" s="1">
        <v>13039</v>
      </c>
      <c r="AE177" s="1">
        <v>1160936</v>
      </c>
      <c r="AF177" s="1">
        <v>347141</v>
      </c>
      <c r="AG177" s="1">
        <v>91033</v>
      </c>
      <c r="AH177" s="1">
        <v>5086</v>
      </c>
      <c r="AT177">
        <v>5.73</v>
      </c>
      <c r="AU177">
        <v>9.35</v>
      </c>
      <c r="AV177">
        <v>32.36</v>
      </c>
    </row>
    <row r="178" spans="1:48" x14ac:dyDescent="0.2">
      <c r="A178" t="s">
        <v>71</v>
      </c>
      <c r="B178">
        <v>1135706</v>
      </c>
      <c r="C178" s="1">
        <v>1191</v>
      </c>
      <c r="D178" s="1">
        <v>776686</v>
      </c>
      <c r="E178" s="2" t="s">
        <v>72</v>
      </c>
      <c r="G178" s="1">
        <v>1612949</v>
      </c>
      <c r="H178" s="1">
        <v>238211</v>
      </c>
      <c r="I178" s="1">
        <v>1860108</v>
      </c>
      <c r="J178" s="1">
        <v>35780</v>
      </c>
      <c r="K178" s="1">
        <v>1403935</v>
      </c>
      <c r="L178" s="1">
        <v>214495</v>
      </c>
      <c r="M178" s="1">
        <v>1518770</v>
      </c>
      <c r="N178" s="1">
        <v>24642</v>
      </c>
      <c r="S178" s="1">
        <v>1873887</v>
      </c>
      <c r="T178" s="1">
        <v>220021</v>
      </c>
      <c r="U178" s="1">
        <v>490580</v>
      </c>
      <c r="V178" s="1">
        <v>-7794</v>
      </c>
      <c r="W178" s="1">
        <v>1821387</v>
      </c>
      <c r="X178" s="1">
        <v>247079</v>
      </c>
      <c r="Y178" s="1">
        <v>501278</v>
      </c>
      <c r="Z178" s="1">
        <v>8147</v>
      </c>
      <c r="AA178" s="1">
        <v>1612949</v>
      </c>
      <c r="AB178" s="1">
        <v>238211</v>
      </c>
      <c r="AC178" s="1">
        <v>537864</v>
      </c>
      <c r="AD178" s="1">
        <v>1187</v>
      </c>
      <c r="AE178" s="1">
        <v>1544648</v>
      </c>
      <c r="AF178" s="1">
        <v>236179</v>
      </c>
      <c r="AG178" s="1">
        <v>531975</v>
      </c>
      <c r="AH178" s="1">
        <v>10840</v>
      </c>
      <c r="AT178">
        <v>21.23</v>
      </c>
      <c r="AU178">
        <v>27.05</v>
      </c>
      <c r="AV178">
        <v>32.01</v>
      </c>
    </row>
    <row r="179" spans="1:48" x14ac:dyDescent="0.2">
      <c r="A179" t="s">
        <v>370</v>
      </c>
      <c r="B179">
        <v>1147685</v>
      </c>
      <c r="C179" s="1">
        <v>1926</v>
      </c>
      <c r="D179" s="1">
        <v>385762</v>
      </c>
      <c r="E179" s="2" t="s">
        <v>371</v>
      </c>
      <c r="G179" s="1">
        <v>1007787</v>
      </c>
      <c r="H179" s="1">
        <v>541729</v>
      </c>
      <c r="I179" s="1">
        <v>485335</v>
      </c>
      <c r="J179" s="1">
        <v>20880</v>
      </c>
      <c r="K179" s="1">
        <v>910105</v>
      </c>
      <c r="L179" s="1">
        <v>475936</v>
      </c>
      <c r="M179" s="1">
        <v>325712</v>
      </c>
      <c r="N179" s="1">
        <v>29797</v>
      </c>
      <c r="S179" s="1">
        <v>1012689</v>
      </c>
      <c r="T179" s="1">
        <v>546413</v>
      </c>
      <c r="U179" s="1">
        <v>110052</v>
      </c>
      <c r="V179" s="1">
        <v>-2875</v>
      </c>
      <c r="W179" s="1">
        <v>1002182</v>
      </c>
      <c r="X179" s="1">
        <v>548939</v>
      </c>
      <c r="Y179" s="1">
        <v>123170</v>
      </c>
      <c r="Z179" s="1">
        <v>6858</v>
      </c>
      <c r="AA179" s="1">
        <v>1007787</v>
      </c>
      <c r="AB179" s="1">
        <v>541729</v>
      </c>
      <c r="AC179" s="1">
        <v>88178</v>
      </c>
      <c r="AD179" s="1">
        <v>-5219</v>
      </c>
      <c r="AE179" s="1">
        <v>1026182</v>
      </c>
      <c r="AF179" s="1">
        <v>546333</v>
      </c>
      <c r="AG179" s="1">
        <v>143048</v>
      </c>
      <c r="AH179" s="1">
        <v>13134</v>
      </c>
      <c r="AT179">
        <v>-4.45</v>
      </c>
      <c r="AU179">
        <v>-8.27</v>
      </c>
      <c r="AV179">
        <v>-20.98</v>
      </c>
    </row>
    <row r="180" spans="1:48" x14ac:dyDescent="0.2">
      <c r="A180" t="s">
        <v>237</v>
      </c>
      <c r="B180">
        <v>1156280</v>
      </c>
      <c r="C180" s="1">
        <v>867.9</v>
      </c>
      <c r="D180" s="1">
        <v>707796</v>
      </c>
      <c r="E180" s="2" t="s">
        <v>238</v>
      </c>
      <c r="G180" s="1">
        <v>546031</v>
      </c>
      <c r="H180" s="1">
        <v>140019</v>
      </c>
      <c r="I180" s="1">
        <v>964595</v>
      </c>
      <c r="J180" s="1">
        <v>20580</v>
      </c>
      <c r="K180" s="1">
        <v>435200</v>
      </c>
      <c r="L180" s="1">
        <v>130143</v>
      </c>
      <c r="M180" s="1">
        <v>878665</v>
      </c>
      <c r="N180" s="1">
        <v>31230</v>
      </c>
      <c r="S180" s="1">
        <v>568190</v>
      </c>
      <c r="T180" s="1">
        <v>156422</v>
      </c>
      <c r="U180" s="1">
        <v>245617</v>
      </c>
      <c r="V180" s="1">
        <v>9919</v>
      </c>
      <c r="W180" s="1">
        <v>571597</v>
      </c>
      <c r="X180" s="1">
        <v>146268</v>
      </c>
      <c r="Y180" s="1">
        <v>244640</v>
      </c>
      <c r="Z180" s="1">
        <v>11335</v>
      </c>
      <c r="AA180" s="1">
        <v>546031</v>
      </c>
      <c r="AB180" s="1">
        <v>140019</v>
      </c>
      <c r="AC180" s="1">
        <v>246288</v>
      </c>
      <c r="AD180" s="1">
        <v>1739</v>
      </c>
      <c r="AE180" s="1">
        <v>546592</v>
      </c>
      <c r="AF180" s="1">
        <v>144664</v>
      </c>
      <c r="AG180" s="1">
        <v>250439</v>
      </c>
      <c r="AH180" s="1">
        <v>8727</v>
      </c>
      <c r="AT180">
        <v>18.72</v>
      </c>
      <c r="AU180">
        <v>89.41</v>
      </c>
      <c r="AV180">
        <v>146.13</v>
      </c>
    </row>
    <row r="181" spans="1:48" x14ac:dyDescent="0.2">
      <c r="A181" t="s">
        <v>531</v>
      </c>
      <c r="B181">
        <v>412015</v>
      </c>
      <c r="C181" s="1">
        <v>5780</v>
      </c>
      <c r="D181" s="1">
        <v>477894</v>
      </c>
      <c r="E181" s="2" t="s">
        <v>532</v>
      </c>
      <c r="G181" s="1">
        <v>389149.5</v>
      </c>
      <c r="H181" s="1">
        <v>266442.53000000003</v>
      </c>
      <c r="I181" s="1">
        <v>185362.43</v>
      </c>
      <c r="J181" s="1">
        <v>36105.300000000003</v>
      </c>
      <c r="K181" s="1">
        <v>307986.71000000002</v>
      </c>
      <c r="L181" s="1">
        <v>181534.98</v>
      </c>
      <c r="M181" s="1">
        <v>198962.72</v>
      </c>
      <c r="N181" s="1">
        <v>36161.19</v>
      </c>
      <c r="S181" s="1">
        <v>371982.18</v>
      </c>
      <c r="T181" s="1">
        <v>255277.26</v>
      </c>
      <c r="U181" s="1">
        <v>38319.410000000003</v>
      </c>
      <c r="V181" s="1">
        <v>14216.35</v>
      </c>
      <c r="W181" s="1">
        <v>407135.86</v>
      </c>
      <c r="X181" s="1">
        <v>265361.09000000003</v>
      </c>
      <c r="Y181" s="1">
        <v>43296.11</v>
      </c>
      <c r="Z181" s="1">
        <v>6216.5</v>
      </c>
      <c r="AA181" s="1">
        <v>389149.5</v>
      </c>
      <c r="AB181" s="1">
        <v>266442.53000000003</v>
      </c>
      <c r="AC181" s="1">
        <v>35051.32</v>
      </c>
      <c r="AD181" s="1">
        <v>7067.89</v>
      </c>
      <c r="AE181" s="1">
        <v>390822.53</v>
      </c>
      <c r="AF181" s="1">
        <v>263361.77</v>
      </c>
      <c r="AG181" s="1">
        <v>47098.45</v>
      </c>
      <c r="AH181" s="1">
        <v>10302.67</v>
      </c>
      <c r="AT181">
        <v>8.52</v>
      </c>
      <c r="AU181">
        <v>-15.51</v>
      </c>
      <c r="AV181">
        <v>25.35</v>
      </c>
    </row>
    <row r="182" spans="1:48" x14ac:dyDescent="0.2">
      <c r="A182" t="s">
        <v>588</v>
      </c>
      <c r="B182">
        <v>1210152</v>
      </c>
      <c r="C182" s="1">
        <v>445.3</v>
      </c>
      <c r="D182" s="1">
        <v>652790</v>
      </c>
      <c r="E182" s="2" t="s">
        <v>589</v>
      </c>
      <c r="G182" s="1">
        <v>2336021</v>
      </c>
      <c r="H182" s="1">
        <v>552794</v>
      </c>
      <c r="I182" s="1">
        <v>572211</v>
      </c>
      <c r="J182" s="1">
        <v>28592</v>
      </c>
      <c r="K182" s="1">
        <v>2197706</v>
      </c>
      <c r="L182" s="1">
        <v>527945</v>
      </c>
      <c r="M182" s="1">
        <v>606992</v>
      </c>
      <c r="N182" s="1">
        <v>36497</v>
      </c>
      <c r="S182" s="1">
        <v>2600605</v>
      </c>
      <c r="T182" s="1">
        <v>581595</v>
      </c>
      <c r="U182" s="1">
        <v>120577</v>
      </c>
      <c r="V182" s="1">
        <v>28261</v>
      </c>
      <c r="W182" s="1">
        <v>2499141</v>
      </c>
      <c r="X182" s="1">
        <v>554783</v>
      </c>
      <c r="Y182" s="1">
        <v>127032</v>
      </c>
      <c r="Z182" s="1">
        <v>1769</v>
      </c>
      <c r="AA182" s="1">
        <v>2336021</v>
      </c>
      <c r="AB182" s="1">
        <v>552794</v>
      </c>
      <c r="AC182" s="1">
        <v>136315</v>
      </c>
      <c r="AD182" s="1">
        <v>12780</v>
      </c>
      <c r="AE182" s="1">
        <v>2309054</v>
      </c>
      <c r="AF182" s="1">
        <v>540978</v>
      </c>
      <c r="AG182" s="1">
        <v>166711</v>
      </c>
      <c r="AH182" s="1">
        <v>7047</v>
      </c>
      <c r="AT182">
        <v>25.83</v>
      </c>
      <c r="AU182">
        <v>50.28</v>
      </c>
      <c r="AV182">
        <v>92.98</v>
      </c>
    </row>
    <row r="183" spans="1:48" x14ac:dyDescent="0.2">
      <c r="A183" t="s">
        <v>233</v>
      </c>
      <c r="B183">
        <v>1091933</v>
      </c>
      <c r="C183" s="1">
        <v>1089</v>
      </c>
      <c r="D183" s="1">
        <v>372785</v>
      </c>
      <c r="E183" s="2" t="s">
        <v>234</v>
      </c>
      <c r="G183" s="1">
        <v>534461</v>
      </c>
      <c r="H183" s="1">
        <v>292431</v>
      </c>
      <c r="I183" s="1">
        <v>406260</v>
      </c>
      <c r="J183" s="1">
        <v>25399</v>
      </c>
      <c r="K183" s="1">
        <v>501538</v>
      </c>
      <c r="L183" s="1">
        <v>292241</v>
      </c>
      <c r="M183" s="1">
        <v>430240</v>
      </c>
      <c r="N183" s="1">
        <v>38436</v>
      </c>
      <c r="S183" s="1">
        <v>569794</v>
      </c>
      <c r="T183" s="1">
        <v>303865</v>
      </c>
      <c r="U183" s="1">
        <v>107173</v>
      </c>
      <c r="V183" s="1">
        <v>5746</v>
      </c>
      <c r="W183" s="1">
        <v>554396</v>
      </c>
      <c r="X183" s="1">
        <v>301915</v>
      </c>
      <c r="Y183" s="1">
        <v>98603</v>
      </c>
      <c r="Z183" s="1">
        <v>6284</v>
      </c>
      <c r="AA183" s="1">
        <v>534461</v>
      </c>
      <c r="AB183" s="1">
        <v>292431</v>
      </c>
      <c r="AC183" s="1">
        <v>106759</v>
      </c>
      <c r="AD183" s="1">
        <v>3607</v>
      </c>
      <c r="AE183" s="1">
        <v>526403</v>
      </c>
      <c r="AF183" s="1">
        <v>314581</v>
      </c>
      <c r="AG183" s="1">
        <v>110719</v>
      </c>
      <c r="AH183" s="1">
        <v>8624</v>
      </c>
      <c r="AT183">
        <v>8.1</v>
      </c>
      <c r="AU183">
        <v>4.99</v>
      </c>
      <c r="AV183">
        <v>24.66</v>
      </c>
    </row>
    <row r="184" spans="1:48" x14ac:dyDescent="0.2">
      <c r="A184" t="s">
        <v>290</v>
      </c>
      <c r="B184">
        <v>1173228</v>
      </c>
      <c r="C184" s="1">
        <v>1205</v>
      </c>
      <c r="D184" s="1">
        <v>1586084</v>
      </c>
      <c r="E184" s="2" t="s">
        <v>291</v>
      </c>
      <c r="G184" s="1">
        <v>16924716</v>
      </c>
      <c r="H184" s="1">
        <v>815484</v>
      </c>
      <c r="J184" s="1">
        <v>163089</v>
      </c>
      <c r="K184" s="1">
        <v>17645991</v>
      </c>
      <c r="L184" s="1">
        <v>450808</v>
      </c>
      <c r="N184" s="1">
        <v>38898</v>
      </c>
      <c r="S184" s="1">
        <v>18110960</v>
      </c>
      <c r="T184" s="1">
        <v>909836</v>
      </c>
      <c r="V184" s="1">
        <v>95884</v>
      </c>
      <c r="W184" s="1">
        <v>17312662</v>
      </c>
      <c r="X184" s="1">
        <v>814137</v>
      </c>
      <c r="Z184" s="1">
        <v>35076</v>
      </c>
      <c r="AA184" s="1">
        <v>16924716</v>
      </c>
      <c r="AB184" s="1">
        <v>815484</v>
      </c>
      <c r="AD184" s="1">
        <v>83631</v>
      </c>
      <c r="AE184" s="1">
        <v>19087417</v>
      </c>
      <c r="AF184" s="1">
        <v>586481</v>
      </c>
      <c r="AH184" s="1">
        <v>13320</v>
      </c>
      <c r="AT184">
        <v>17.98</v>
      </c>
      <c r="AU184">
        <v>146.99</v>
      </c>
      <c r="AV184">
        <v>452.14</v>
      </c>
    </row>
    <row r="185" spans="1:48" x14ac:dyDescent="0.2">
      <c r="A185" t="s">
        <v>278</v>
      </c>
      <c r="B185">
        <v>1142587</v>
      </c>
      <c r="C185" s="1">
        <v>716.3</v>
      </c>
      <c r="D185" s="1">
        <v>727663</v>
      </c>
      <c r="E185" s="2" t="s">
        <v>279</v>
      </c>
      <c r="G185" s="1">
        <v>1383609</v>
      </c>
      <c r="H185" s="1">
        <v>124383</v>
      </c>
      <c r="I185" s="1">
        <v>552222</v>
      </c>
      <c r="J185" s="1">
        <v>46501</v>
      </c>
      <c r="K185" s="1">
        <v>1266407</v>
      </c>
      <c r="L185" s="1">
        <v>121468</v>
      </c>
      <c r="M185" s="1">
        <v>508515</v>
      </c>
      <c r="N185" s="1">
        <v>40063</v>
      </c>
      <c r="S185" s="1">
        <v>1451251</v>
      </c>
      <c r="T185" s="1">
        <v>100990</v>
      </c>
      <c r="U185" s="1">
        <v>141416</v>
      </c>
      <c r="V185" s="1">
        <v>4961</v>
      </c>
      <c r="W185" s="1">
        <v>1445942</v>
      </c>
      <c r="X185" s="1">
        <v>106128</v>
      </c>
      <c r="Y185" s="1">
        <v>142996</v>
      </c>
      <c r="Z185" s="1">
        <v>8007</v>
      </c>
      <c r="AA185" s="1">
        <v>1383609</v>
      </c>
      <c r="AB185" s="1">
        <v>124383</v>
      </c>
      <c r="AC185" s="1">
        <v>141340</v>
      </c>
      <c r="AD185" s="1">
        <v>11691</v>
      </c>
      <c r="AE185" s="1">
        <v>1328726</v>
      </c>
      <c r="AF185" s="1">
        <v>111295</v>
      </c>
      <c r="AG185" s="1">
        <v>147261</v>
      </c>
      <c r="AH185" s="1">
        <v>10201</v>
      </c>
      <c r="AT185">
        <v>2.25</v>
      </c>
      <c r="AU185">
        <v>35.119999999999997</v>
      </c>
      <c r="AV185">
        <v>121.67</v>
      </c>
    </row>
    <row r="186" spans="1:48" x14ac:dyDescent="0.2">
      <c r="A186" t="s">
        <v>367</v>
      </c>
      <c r="B186">
        <v>522011</v>
      </c>
      <c r="C186" s="1">
        <v>2790</v>
      </c>
      <c r="D186" s="1">
        <v>671644</v>
      </c>
      <c r="E186" s="2" t="s">
        <v>368</v>
      </c>
      <c r="G186" s="1">
        <v>1166577</v>
      </c>
      <c r="H186" s="1">
        <v>528517</v>
      </c>
      <c r="I186" s="1">
        <v>1354047</v>
      </c>
      <c r="J186" s="1">
        <v>71464</v>
      </c>
      <c r="K186" s="1">
        <v>931569</v>
      </c>
      <c r="L186" s="1">
        <v>486652</v>
      </c>
      <c r="M186" s="1">
        <v>1123038</v>
      </c>
      <c r="N186" s="1">
        <v>46883</v>
      </c>
      <c r="S186" s="1">
        <v>1177126</v>
      </c>
      <c r="T186" s="1">
        <v>549300</v>
      </c>
      <c r="U186" s="1">
        <v>356098</v>
      </c>
      <c r="V186" s="1">
        <v>23266</v>
      </c>
      <c r="W186" s="1">
        <v>1237831</v>
      </c>
      <c r="X186" s="1">
        <v>557171</v>
      </c>
      <c r="Y186" s="1">
        <v>334228</v>
      </c>
      <c r="Z186" s="1">
        <v>12774</v>
      </c>
      <c r="AA186" s="1">
        <v>1166577</v>
      </c>
      <c r="AB186" s="1">
        <v>528517</v>
      </c>
      <c r="AC186" s="1">
        <v>315560</v>
      </c>
      <c r="AD186" s="1">
        <v>18042</v>
      </c>
      <c r="AE186" s="1">
        <v>1245271</v>
      </c>
      <c r="AF186" s="1">
        <v>542925</v>
      </c>
      <c r="AG186" s="1">
        <v>357584</v>
      </c>
      <c r="AH186" s="1">
        <v>15975</v>
      </c>
      <c r="AT186">
        <v>2.25</v>
      </c>
      <c r="AU186">
        <v>6.15</v>
      </c>
      <c r="AV186">
        <v>39.69</v>
      </c>
    </row>
    <row r="187" spans="1:48" x14ac:dyDescent="0.2">
      <c r="A187" t="s">
        <v>93</v>
      </c>
      <c r="B187">
        <v>1080753</v>
      </c>
      <c r="C187" s="1">
        <v>6324</v>
      </c>
      <c r="D187" s="1">
        <v>707536</v>
      </c>
      <c r="E187" s="2" t="s">
        <v>94</v>
      </c>
      <c r="G187" s="1">
        <v>994067</v>
      </c>
      <c r="H187" s="1">
        <v>646487</v>
      </c>
      <c r="I187" s="1">
        <v>920371</v>
      </c>
      <c r="J187" s="1">
        <v>38981</v>
      </c>
      <c r="K187" s="1">
        <v>1016111</v>
      </c>
      <c r="L187" s="1">
        <v>623506</v>
      </c>
      <c r="M187" s="1">
        <v>916247</v>
      </c>
      <c r="N187" s="1">
        <v>50885</v>
      </c>
      <c r="S187" s="1">
        <v>947256</v>
      </c>
      <c r="T187" s="1">
        <v>660357</v>
      </c>
      <c r="U187" s="1">
        <v>219314</v>
      </c>
      <c r="V187" s="1">
        <v>16923</v>
      </c>
      <c r="W187" s="1">
        <v>987086</v>
      </c>
      <c r="X187" s="1">
        <v>646408</v>
      </c>
      <c r="Y187" s="1">
        <v>238260</v>
      </c>
      <c r="Z187" s="1">
        <v>9111</v>
      </c>
      <c r="AA187" s="1">
        <v>994067</v>
      </c>
      <c r="AB187" s="1">
        <v>646487</v>
      </c>
      <c r="AC187" s="1">
        <v>229901</v>
      </c>
      <c r="AD187" s="1">
        <v>6614</v>
      </c>
      <c r="AE187" s="1">
        <v>1007769</v>
      </c>
      <c r="AF187" s="1">
        <v>641829</v>
      </c>
      <c r="AG187" s="1">
        <v>240099</v>
      </c>
      <c r="AH187" s="1">
        <v>12958</v>
      </c>
      <c r="AT187">
        <v>6.53</v>
      </c>
      <c r="AU187">
        <v>-6.44</v>
      </c>
      <c r="AV187">
        <v>-25.53</v>
      </c>
    </row>
    <row r="188" spans="1:48" x14ac:dyDescent="0.2">
      <c r="A188" t="s">
        <v>399</v>
      </c>
      <c r="B188">
        <v>1139195</v>
      </c>
      <c r="C188" s="1">
        <v>840.3</v>
      </c>
      <c r="D188" s="1">
        <v>1233575</v>
      </c>
      <c r="E188" s="2" t="s">
        <v>400</v>
      </c>
      <c r="G188" s="1">
        <v>4920525</v>
      </c>
      <c r="H188" s="1">
        <v>1722785</v>
      </c>
      <c r="I188" s="1">
        <v>75098</v>
      </c>
      <c r="J188" s="1">
        <v>148932</v>
      </c>
      <c r="K188" s="1">
        <v>4231140</v>
      </c>
      <c r="L188" s="1">
        <v>1521075</v>
      </c>
      <c r="M188" s="1">
        <v>59968</v>
      </c>
      <c r="N188" s="1">
        <v>51443</v>
      </c>
      <c r="S188" s="1">
        <v>5349990</v>
      </c>
      <c r="T188" s="1">
        <v>1747075</v>
      </c>
      <c r="U188" s="1">
        <v>19362</v>
      </c>
      <c r="V188" s="1">
        <v>26186</v>
      </c>
      <c r="W188" s="1">
        <v>5226189</v>
      </c>
      <c r="X188" s="1">
        <v>1741903</v>
      </c>
      <c r="Y188" s="1">
        <v>20013</v>
      </c>
      <c r="Z188" s="1">
        <v>18004</v>
      </c>
      <c r="AA188" s="1">
        <v>4920525</v>
      </c>
      <c r="AB188" s="1">
        <v>1722785</v>
      </c>
      <c r="AC188" s="1">
        <v>22451</v>
      </c>
      <c r="AD188" s="1">
        <v>22307</v>
      </c>
      <c r="AE188" s="1">
        <v>4850716</v>
      </c>
      <c r="AF188" s="1">
        <v>1699442</v>
      </c>
      <c r="AG188" s="1">
        <v>17724</v>
      </c>
      <c r="AH188" s="1">
        <v>28809</v>
      </c>
      <c r="AT188">
        <v>-2.4900000000000002</v>
      </c>
      <c r="AU188">
        <v>61.66</v>
      </c>
      <c r="AV188">
        <v>48.02</v>
      </c>
    </row>
    <row r="189" spans="1:48" x14ac:dyDescent="0.2">
      <c r="A189" t="s">
        <v>365</v>
      </c>
      <c r="B189">
        <v>543017</v>
      </c>
      <c r="C189" s="1">
        <v>1587</v>
      </c>
      <c r="D189" s="1">
        <v>259331</v>
      </c>
      <c r="E189" s="2" t="s">
        <v>366</v>
      </c>
      <c r="G189" s="1">
        <v>610558.87</v>
      </c>
      <c r="H189" s="1">
        <v>285899.28000000003</v>
      </c>
      <c r="I189" s="1">
        <v>104154.68</v>
      </c>
      <c r="J189" s="1">
        <v>82239.850000000006</v>
      </c>
      <c r="K189" s="1">
        <v>656730.03</v>
      </c>
      <c r="L189" s="1">
        <v>213793.52</v>
      </c>
      <c r="M189" s="1">
        <v>100990.19</v>
      </c>
      <c r="N189" s="1">
        <v>51906</v>
      </c>
      <c r="S189" s="1">
        <v>554869.34</v>
      </c>
      <c r="T189" s="1">
        <v>309684.47999999998</v>
      </c>
      <c r="U189" s="1">
        <v>25023.61</v>
      </c>
      <c r="V189" s="1">
        <v>35810.639999999999</v>
      </c>
      <c r="W189" s="1">
        <v>641607.81000000006</v>
      </c>
      <c r="X189" s="1">
        <v>300027.71999999997</v>
      </c>
      <c r="Y189" s="1">
        <v>28119.23</v>
      </c>
      <c r="Z189" s="1">
        <v>23772.89</v>
      </c>
      <c r="AA189" s="1">
        <v>610558.87</v>
      </c>
      <c r="AB189" s="1">
        <v>285899.28000000003</v>
      </c>
      <c r="AC189" s="1">
        <v>25580.06</v>
      </c>
      <c r="AD189" s="1">
        <v>15616.45</v>
      </c>
      <c r="AE189" s="1">
        <v>640553.77</v>
      </c>
      <c r="AF189" s="1">
        <v>274272.88</v>
      </c>
      <c r="AG189" s="1">
        <v>26582.15</v>
      </c>
      <c r="AH189" s="1">
        <v>38417.050000000003</v>
      </c>
      <c r="AI189" s="1">
        <f>D189/E189</f>
        <v>113741.66666666667</v>
      </c>
      <c r="AJ189" s="1">
        <f>R189+V189+Z189+AD189</f>
        <v>75199.98</v>
      </c>
      <c r="AK189" s="8">
        <f>AJ189/AI189-1</f>
        <v>-0.33885283903582686</v>
      </c>
      <c r="AT189">
        <v>-3.17</v>
      </c>
      <c r="AU189">
        <v>27.8</v>
      </c>
      <c r="AV189">
        <v>123.06</v>
      </c>
    </row>
    <row r="190" spans="1:48" x14ac:dyDescent="0.2">
      <c r="A190" t="s">
        <v>252</v>
      </c>
      <c r="B190">
        <v>532010</v>
      </c>
      <c r="C190" s="1">
        <v>2840</v>
      </c>
      <c r="D190" s="1">
        <v>449923</v>
      </c>
      <c r="E190" s="2" t="s">
        <v>253</v>
      </c>
      <c r="G190" s="1">
        <v>893387.37</v>
      </c>
      <c r="H190" s="1">
        <v>618144.63</v>
      </c>
      <c r="I190" s="1">
        <v>1124322.71</v>
      </c>
      <c r="J190" s="1">
        <v>154891.74</v>
      </c>
      <c r="K190" s="1">
        <v>789452.84</v>
      </c>
      <c r="L190" s="1">
        <v>502977.86</v>
      </c>
      <c r="M190" s="1">
        <v>938061.92</v>
      </c>
      <c r="N190" s="1">
        <v>53810.17</v>
      </c>
      <c r="S190" s="1">
        <v>860399.51</v>
      </c>
      <c r="T190" s="1">
        <v>591947.85</v>
      </c>
      <c r="U190" s="1">
        <v>218040.26</v>
      </c>
      <c r="V190" s="1">
        <v>22268.69</v>
      </c>
      <c r="W190" s="1">
        <v>923339.26</v>
      </c>
      <c r="X190" s="1">
        <v>628944.31000000006</v>
      </c>
      <c r="Y190" s="1">
        <v>258902.93</v>
      </c>
      <c r="Z190" s="1">
        <v>36507.040000000001</v>
      </c>
      <c r="AA190" s="1">
        <v>893387.37</v>
      </c>
      <c r="AB190" s="1">
        <v>618144.63</v>
      </c>
      <c r="AC190" s="1">
        <v>274407.58</v>
      </c>
      <c r="AD190" s="1">
        <v>21356.83</v>
      </c>
      <c r="AE190" s="1">
        <v>901036.58</v>
      </c>
      <c r="AF190" s="1">
        <v>622649.31000000006</v>
      </c>
      <c r="AG190" s="1">
        <v>285269.32</v>
      </c>
      <c r="AH190" s="1">
        <v>37916.199999999997</v>
      </c>
      <c r="AT190">
        <v>-4.5199999999999996</v>
      </c>
      <c r="AU190">
        <v>-20.45</v>
      </c>
      <c r="AV190">
        <v>132.66999999999999</v>
      </c>
    </row>
    <row r="191" spans="1:48" x14ac:dyDescent="0.2">
      <c r="A191" t="s">
        <v>310</v>
      </c>
      <c r="B191">
        <v>150011</v>
      </c>
      <c r="C191" s="1">
        <v>253000</v>
      </c>
      <c r="D191" s="1">
        <v>1249403</v>
      </c>
      <c r="E191" s="2" t="s">
        <v>311</v>
      </c>
      <c r="G191" s="1">
        <v>1347852</v>
      </c>
      <c r="H191" s="1">
        <v>1054251</v>
      </c>
      <c r="I191" s="1">
        <v>168787</v>
      </c>
      <c r="J191" s="1">
        <v>83780</v>
      </c>
      <c r="K191" s="1">
        <v>1282177</v>
      </c>
      <c r="L191" s="1">
        <v>984407</v>
      </c>
      <c r="M191" s="1">
        <v>152729</v>
      </c>
      <c r="N191" s="1">
        <v>67989</v>
      </c>
      <c r="S191" s="1">
        <v>1396416</v>
      </c>
      <c r="T191" s="1">
        <v>1089490</v>
      </c>
      <c r="U191" s="1">
        <v>44394</v>
      </c>
      <c r="V191" s="1">
        <v>21860</v>
      </c>
      <c r="W191" s="1">
        <v>1385301</v>
      </c>
      <c r="X191" s="1">
        <v>1075044</v>
      </c>
      <c r="Y191" s="1">
        <v>44811</v>
      </c>
      <c r="Z191" s="1">
        <v>20793</v>
      </c>
      <c r="AA191" s="1">
        <v>1347852</v>
      </c>
      <c r="AB191" s="1">
        <v>1054251</v>
      </c>
      <c r="AC191" s="1">
        <v>33109</v>
      </c>
      <c r="AD191" s="1">
        <v>12561</v>
      </c>
      <c r="AE191" s="1">
        <v>1332030</v>
      </c>
      <c r="AF191" s="1">
        <v>1047372</v>
      </c>
      <c r="AG191" s="1">
        <v>50121</v>
      </c>
      <c r="AH191" s="1">
        <v>26762</v>
      </c>
      <c r="AT191">
        <v>-9.64</v>
      </c>
      <c r="AU191">
        <v>12.63</v>
      </c>
      <c r="AV191">
        <v>15.5</v>
      </c>
    </row>
    <row r="192" spans="1:48" x14ac:dyDescent="0.2">
      <c r="A192" t="s">
        <v>76</v>
      </c>
      <c r="B192">
        <v>1096106</v>
      </c>
      <c r="C192" s="1">
        <v>7842</v>
      </c>
      <c r="D192" s="1">
        <v>1154618</v>
      </c>
      <c r="E192" s="2" t="s">
        <v>77</v>
      </c>
      <c r="G192" s="1">
        <v>249127</v>
      </c>
      <c r="H192" s="1">
        <v>248617</v>
      </c>
      <c r="I192" s="1">
        <v>160</v>
      </c>
      <c r="J192" s="1">
        <v>93260</v>
      </c>
      <c r="K192" s="1">
        <v>213976</v>
      </c>
      <c r="L192" s="1">
        <v>213560</v>
      </c>
      <c r="M192" s="1">
        <v>361</v>
      </c>
      <c r="N192" s="1">
        <v>73000</v>
      </c>
      <c r="S192" s="1">
        <v>259074</v>
      </c>
      <c r="T192" s="1">
        <v>258503</v>
      </c>
      <c r="U192" s="1">
        <v>331</v>
      </c>
      <c r="V192" s="1">
        <v>26357</v>
      </c>
      <c r="W192" s="1">
        <v>275608</v>
      </c>
      <c r="X192" s="1">
        <v>255146</v>
      </c>
      <c r="Y192" s="1">
        <v>570</v>
      </c>
      <c r="Z192" s="1">
        <v>26529</v>
      </c>
      <c r="AA192" s="1">
        <v>249127</v>
      </c>
      <c r="AB192" s="1">
        <v>248617</v>
      </c>
      <c r="AC192" s="1">
        <v>59</v>
      </c>
      <c r="AD192" s="1">
        <v>24031</v>
      </c>
      <c r="AE192" s="1">
        <v>240736</v>
      </c>
      <c r="AF192" s="1">
        <v>240301</v>
      </c>
      <c r="AG192" s="1">
        <v>30</v>
      </c>
      <c r="AH192" s="1">
        <v>24424</v>
      </c>
      <c r="AT192">
        <v>-2.23</v>
      </c>
      <c r="AU192">
        <v>18.68</v>
      </c>
      <c r="AV192">
        <v>92.63</v>
      </c>
    </row>
    <row r="193" spans="1:48" x14ac:dyDescent="0.2">
      <c r="A193" t="s">
        <v>361</v>
      </c>
      <c r="B193">
        <v>810010</v>
      </c>
      <c r="C193" s="1">
        <v>20420</v>
      </c>
      <c r="D193" s="1">
        <v>1344454</v>
      </c>
      <c r="E193" s="2" t="s">
        <v>362</v>
      </c>
      <c r="G193" s="1">
        <v>123002.37</v>
      </c>
      <c r="H193" s="1">
        <v>106590.87</v>
      </c>
      <c r="I193" s="1">
        <v>106981.1</v>
      </c>
      <c r="J193" s="1">
        <v>80004.240000000005</v>
      </c>
      <c r="K193" s="1">
        <v>124108.69</v>
      </c>
      <c r="L193" s="1">
        <v>104366.93</v>
      </c>
      <c r="M193" s="1">
        <v>95999.44</v>
      </c>
      <c r="N193" s="1">
        <v>80098.67</v>
      </c>
      <c r="S193" s="1">
        <v>135635.32999999999</v>
      </c>
      <c r="T193" s="1">
        <v>121034.57</v>
      </c>
      <c r="U193" s="1">
        <v>19338.419999999998</v>
      </c>
      <c r="V193" s="1">
        <v>37591.06</v>
      </c>
      <c r="W193" s="1">
        <v>147928.06</v>
      </c>
      <c r="X193" s="1">
        <v>131948.1</v>
      </c>
      <c r="Y193" s="1">
        <v>26438.7</v>
      </c>
      <c r="Z193" s="1">
        <v>23282.12</v>
      </c>
      <c r="AA193" s="1">
        <v>123002.37</v>
      </c>
      <c r="AB193" s="1">
        <v>106590.87</v>
      </c>
      <c r="AC193" s="1">
        <v>24489.61</v>
      </c>
      <c r="AD193" s="1">
        <v>21298.48</v>
      </c>
      <c r="AE193" s="1">
        <v>143135.51</v>
      </c>
      <c r="AF193" s="1">
        <v>126633.43</v>
      </c>
      <c r="AG193" s="1">
        <v>30971.08</v>
      </c>
      <c r="AH193" s="1">
        <v>29524.18</v>
      </c>
      <c r="AT193">
        <v>5.54</v>
      </c>
      <c r="AU193">
        <v>62.69</v>
      </c>
      <c r="AV193">
        <v>204.38</v>
      </c>
    </row>
    <row r="194" spans="1:48" x14ac:dyDescent="0.2">
      <c r="A194" t="s">
        <v>88</v>
      </c>
      <c r="B194">
        <v>209015</v>
      </c>
      <c r="C194" s="1">
        <v>9420</v>
      </c>
      <c r="D194" s="1">
        <v>2565483</v>
      </c>
      <c r="E194" s="2" t="s">
        <v>89</v>
      </c>
      <c r="G194" s="1">
        <v>16832796</v>
      </c>
      <c r="H194" s="1">
        <v>1092745</v>
      </c>
      <c r="J194" s="1">
        <v>251228</v>
      </c>
      <c r="K194" s="1">
        <v>17676202</v>
      </c>
      <c r="L194" s="1">
        <v>768232</v>
      </c>
      <c r="N194" s="1">
        <v>84910</v>
      </c>
      <c r="S194" s="1">
        <v>18017461</v>
      </c>
      <c r="T194" s="1">
        <v>1263753</v>
      </c>
      <c r="V194" s="1">
        <v>144288</v>
      </c>
      <c r="W194" s="1">
        <v>17212759</v>
      </c>
      <c r="X194" s="1">
        <v>1119465</v>
      </c>
      <c r="Z194" s="1">
        <v>56720</v>
      </c>
      <c r="AA194" s="1">
        <v>16832796</v>
      </c>
      <c r="AB194" s="1">
        <v>1092745</v>
      </c>
      <c r="AD194" s="1">
        <v>123572</v>
      </c>
      <c r="AE194" s="1">
        <v>19113547</v>
      </c>
      <c r="AF194" s="1">
        <v>950251</v>
      </c>
      <c r="AH194" s="1">
        <v>23583</v>
      </c>
      <c r="AT194">
        <v>27.91</v>
      </c>
      <c r="AU194">
        <v>259.25</v>
      </c>
      <c r="AV194">
        <v>485.48</v>
      </c>
    </row>
    <row r="195" spans="1:48" x14ac:dyDescent="0.2">
      <c r="A195" t="s">
        <v>650</v>
      </c>
      <c r="B195">
        <v>796011</v>
      </c>
      <c r="C195" s="1">
        <v>4959</v>
      </c>
      <c r="D195" s="1">
        <v>115731</v>
      </c>
      <c r="E195" s="2" t="s">
        <v>651</v>
      </c>
      <c r="G195" s="1">
        <v>295624</v>
      </c>
      <c r="H195" s="1">
        <v>227842</v>
      </c>
      <c r="I195" s="1">
        <v>93529</v>
      </c>
      <c r="J195" s="1">
        <v>703</v>
      </c>
      <c r="K195" s="1">
        <v>295342</v>
      </c>
      <c r="L195" s="1">
        <v>231111</v>
      </c>
      <c r="M195" s="1">
        <v>80303</v>
      </c>
      <c r="N195" s="1">
        <v>101308</v>
      </c>
      <c r="S195" s="1">
        <v>296861</v>
      </c>
      <c r="T195" s="1">
        <v>229777</v>
      </c>
      <c r="U195" s="1">
        <v>39880</v>
      </c>
      <c r="V195" s="1">
        <v>3923</v>
      </c>
      <c r="AA195" s="1">
        <v>295624</v>
      </c>
      <c r="AB195" s="1">
        <v>227842</v>
      </c>
      <c r="AC195" s="1">
        <v>49157</v>
      </c>
      <c r="AD195" s="1">
        <v>-7780</v>
      </c>
      <c r="AI195" s="1">
        <f>D195/E195</f>
        <v>98915.384615384624</v>
      </c>
      <c r="AJ195" s="1">
        <f>R195+V195+Z195+AD195</f>
        <v>-3857</v>
      </c>
      <c r="AK195" s="8">
        <f>AJ195/AI195-1</f>
        <v>-1.0389929232444202</v>
      </c>
      <c r="AT195">
        <v>-17.399999999999999</v>
      </c>
      <c r="AU195">
        <v>-21.05</v>
      </c>
      <c r="AV195">
        <v>-19.02</v>
      </c>
    </row>
    <row r="196" spans="1:48" x14ac:dyDescent="0.2">
      <c r="A196" t="s">
        <v>379</v>
      </c>
      <c r="B196">
        <v>473017</v>
      </c>
      <c r="C196" s="1">
        <v>373</v>
      </c>
      <c r="D196" s="1">
        <v>1531370</v>
      </c>
      <c r="E196" s="2" t="s">
        <v>380</v>
      </c>
      <c r="G196" s="1">
        <v>2545726</v>
      </c>
      <c r="H196" s="1">
        <v>608000</v>
      </c>
      <c r="I196" s="1">
        <v>843020</v>
      </c>
      <c r="J196" s="1">
        <v>2208</v>
      </c>
      <c r="K196" s="1">
        <v>2205765</v>
      </c>
      <c r="L196" s="1">
        <v>571048</v>
      </c>
      <c r="M196" s="1">
        <v>897352</v>
      </c>
      <c r="N196" s="1">
        <v>106097</v>
      </c>
      <c r="S196" s="1">
        <v>3470932</v>
      </c>
      <c r="T196" s="1">
        <v>655640</v>
      </c>
      <c r="U196" s="1">
        <v>182403</v>
      </c>
      <c r="V196" s="1">
        <v>-2654</v>
      </c>
      <c r="W196" s="1">
        <v>2583036</v>
      </c>
      <c r="X196" s="1">
        <v>670220</v>
      </c>
      <c r="Y196" s="1">
        <v>290825</v>
      </c>
      <c r="Z196" s="1">
        <v>18608</v>
      </c>
      <c r="AA196" s="1">
        <v>2545726</v>
      </c>
      <c r="AB196" s="1">
        <v>608000</v>
      </c>
      <c r="AC196" s="1">
        <v>242100</v>
      </c>
      <c r="AD196" s="1">
        <v>23228</v>
      </c>
      <c r="AE196" s="1">
        <v>2402184</v>
      </c>
      <c r="AF196" s="1">
        <v>529385</v>
      </c>
      <c r="AG196" s="1">
        <v>163784</v>
      </c>
      <c r="AH196" s="1">
        <v>-7961</v>
      </c>
      <c r="AT196">
        <v>31.53</v>
      </c>
      <c r="AU196">
        <v>36.17</v>
      </c>
      <c r="AV196">
        <v>173.37</v>
      </c>
    </row>
    <row r="197" spans="1:48" x14ac:dyDescent="0.2">
      <c r="A197" t="s">
        <v>196</v>
      </c>
      <c r="B197">
        <v>1183656</v>
      </c>
      <c r="C197" s="1">
        <v>1474</v>
      </c>
      <c r="D197" s="1">
        <v>1030821</v>
      </c>
      <c r="E197" s="2" t="s">
        <v>197</v>
      </c>
      <c r="G197" s="1">
        <v>2007219</v>
      </c>
      <c r="H197" s="1">
        <v>1156426</v>
      </c>
      <c r="I197" s="1">
        <v>103398</v>
      </c>
      <c r="J197" s="1">
        <v>133185</v>
      </c>
      <c r="K197" s="1">
        <v>1827906</v>
      </c>
      <c r="L197" s="1">
        <v>1052156</v>
      </c>
      <c r="M197" s="1">
        <v>99100</v>
      </c>
      <c r="N197" s="1">
        <v>125664</v>
      </c>
      <c r="S197" s="1">
        <v>2129678</v>
      </c>
      <c r="T197" s="1">
        <v>1153592</v>
      </c>
      <c r="U197" s="1">
        <v>27305</v>
      </c>
      <c r="V197" s="1">
        <v>15359</v>
      </c>
      <c r="W197" s="1">
        <v>2024643</v>
      </c>
      <c r="X197" s="1">
        <v>1134621</v>
      </c>
      <c r="Y197" s="1">
        <v>26375</v>
      </c>
      <c r="Z197" s="1">
        <v>7913</v>
      </c>
      <c r="AA197" s="1">
        <v>2007219</v>
      </c>
      <c r="AB197" s="1">
        <v>1156426</v>
      </c>
      <c r="AC197" s="1">
        <v>26431</v>
      </c>
      <c r="AD197" s="1">
        <v>86679</v>
      </c>
      <c r="AE197" s="1">
        <v>1875334</v>
      </c>
      <c r="AF197" s="1">
        <v>1069505</v>
      </c>
      <c r="AG197" s="1">
        <v>26134</v>
      </c>
      <c r="AH197" s="1">
        <v>3907</v>
      </c>
      <c r="AT197">
        <v>-0.41</v>
      </c>
      <c r="AU197">
        <v>14.16</v>
      </c>
      <c r="AV197">
        <v>63.44</v>
      </c>
    </row>
    <row r="198" spans="1:48" x14ac:dyDescent="0.2">
      <c r="A198" t="s">
        <v>110</v>
      </c>
      <c r="B198">
        <v>1134881</v>
      </c>
      <c r="C198" s="1">
        <v>852.4</v>
      </c>
      <c r="D198" s="1">
        <v>862628</v>
      </c>
      <c r="E198" s="2" t="s">
        <v>111</v>
      </c>
      <c r="G198" s="1">
        <v>3298997</v>
      </c>
      <c r="H198" s="1">
        <v>838037</v>
      </c>
      <c r="I198" s="1">
        <v>1609499</v>
      </c>
      <c r="J198" s="1">
        <v>128658</v>
      </c>
      <c r="K198" s="1">
        <v>3287001</v>
      </c>
      <c r="L198" s="1">
        <v>751962</v>
      </c>
      <c r="M198" s="1">
        <v>1567682</v>
      </c>
      <c r="N198" s="1">
        <v>128218</v>
      </c>
      <c r="S198" s="1">
        <v>3646573</v>
      </c>
      <c r="T198" s="1">
        <v>849648</v>
      </c>
      <c r="U198" s="1">
        <v>400540</v>
      </c>
      <c r="V198" s="1">
        <v>14632</v>
      </c>
      <c r="W198" s="1">
        <v>3618474</v>
      </c>
      <c r="X198" s="1">
        <v>850160</v>
      </c>
      <c r="Y198" s="1">
        <v>396451</v>
      </c>
      <c r="Z198" s="1">
        <v>29098</v>
      </c>
      <c r="AA198" s="1">
        <v>3298997</v>
      </c>
      <c r="AB198" s="1">
        <v>838037</v>
      </c>
      <c r="AC198" s="1">
        <v>396496</v>
      </c>
      <c r="AD198" s="1">
        <v>42779</v>
      </c>
      <c r="AE198" s="1">
        <v>3378011</v>
      </c>
      <c r="AF198" s="1">
        <v>794911</v>
      </c>
      <c r="AG198" s="1">
        <v>409464</v>
      </c>
      <c r="AH198" s="1">
        <v>24138</v>
      </c>
      <c r="AT198">
        <v>-8.9700000000000006</v>
      </c>
      <c r="AU198">
        <v>0</v>
      </c>
      <c r="AV198">
        <v>0</v>
      </c>
    </row>
    <row r="199" spans="1:48" x14ac:dyDescent="0.2">
      <c r="A199" t="s">
        <v>547</v>
      </c>
      <c r="B199">
        <v>315010</v>
      </c>
      <c r="C199" s="1">
        <v>20130</v>
      </c>
      <c r="D199" s="1">
        <v>1850941</v>
      </c>
      <c r="E199" s="2" t="s">
        <v>548</v>
      </c>
      <c r="G199" s="1">
        <v>660891.12</v>
      </c>
      <c r="H199" s="1">
        <v>590824.94999999995</v>
      </c>
      <c r="I199" s="1">
        <v>467064.01</v>
      </c>
      <c r="J199" s="1">
        <v>158214.16</v>
      </c>
      <c r="K199" s="1">
        <v>603779.44999999995</v>
      </c>
      <c r="L199" s="1">
        <v>538707.43999999994</v>
      </c>
      <c r="M199" s="1">
        <v>411367.1</v>
      </c>
      <c r="N199" s="1">
        <v>136759.67000000001</v>
      </c>
      <c r="O199" s="1">
        <v>589086.22</v>
      </c>
      <c r="P199" s="1">
        <v>473720.05</v>
      </c>
      <c r="Q199" s="1">
        <v>100373.47</v>
      </c>
      <c r="R199" s="1">
        <v>36227</v>
      </c>
      <c r="S199" s="1">
        <v>563134.11</v>
      </c>
      <c r="T199" s="1">
        <v>513666.87</v>
      </c>
      <c r="U199" s="1">
        <v>101048.72</v>
      </c>
      <c r="V199" s="1">
        <v>38413.82</v>
      </c>
      <c r="W199" s="1">
        <v>693213.65</v>
      </c>
      <c r="X199" s="1">
        <v>524018.63</v>
      </c>
      <c r="Y199" s="1">
        <v>100252.15</v>
      </c>
      <c r="Z199" s="1">
        <v>33231.480000000003</v>
      </c>
      <c r="AA199" s="1">
        <v>660891.12</v>
      </c>
      <c r="AB199" s="1">
        <v>590824.94999999995</v>
      </c>
      <c r="AC199" s="1">
        <v>120617.23</v>
      </c>
      <c r="AD199" s="1">
        <v>43596.24</v>
      </c>
      <c r="AE199" s="1">
        <v>669387.89</v>
      </c>
      <c r="AF199" s="1">
        <v>611983.06000000006</v>
      </c>
      <c r="AG199" s="1">
        <v>121305.87</v>
      </c>
      <c r="AH199" s="1">
        <v>37378.25</v>
      </c>
      <c r="AI199" s="1">
        <f>D199/E199</f>
        <v>115251.6189290162</v>
      </c>
      <c r="AJ199" s="1">
        <f>R199+V199+Z199+AD199</f>
        <v>151468.54</v>
      </c>
      <c r="AK199" s="8">
        <f>AJ199/AI199-1</f>
        <v>0.31424218945930749</v>
      </c>
      <c r="AL199" s="9">
        <f>(Y199+U199+Q199)/3*4</f>
        <v>402232.45333333331</v>
      </c>
      <c r="AM199" s="8">
        <f>AL199/I199-1</f>
        <v>-0.13880657742536551</v>
      </c>
      <c r="AN199" s="9">
        <f>(Z199+V199+R199)/3*4</f>
        <v>143829.73333333334</v>
      </c>
      <c r="AO199" s="8">
        <f>AN199/J199-1</f>
        <v>-9.0917441692113132E-2</v>
      </c>
      <c r="AP199" s="8">
        <f>AN199/AI199-1</f>
        <v>0.24796280234396084</v>
      </c>
      <c r="AT199">
        <v>17.18</v>
      </c>
      <c r="AU199">
        <v>53.08</v>
      </c>
      <c r="AV199">
        <v>128.01</v>
      </c>
    </row>
    <row r="200" spans="1:48" x14ac:dyDescent="0.2">
      <c r="A200" t="s">
        <v>459</v>
      </c>
      <c r="B200">
        <v>643015</v>
      </c>
      <c r="C200" s="1">
        <v>2531</v>
      </c>
      <c r="D200" s="1">
        <v>2396588</v>
      </c>
      <c r="E200" s="2" t="s">
        <v>460</v>
      </c>
      <c r="G200" s="1">
        <v>5953574</v>
      </c>
      <c r="H200" s="1">
        <v>1225652</v>
      </c>
      <c r="I200" s="1">
        <v>2453313</v>
      </c>
      <c r="J200" s="1">
        <v>337724</v>
      </c>
      <c r="K200" s="1">
        <v>5725689</v>
      </c>
      <c r="L200" s="1">
        <v>1075813</v>
      </c>
      <c r="M200" s="1">
        <v>2044536</v>
      </c>
      <c r="N200" s="1">
        <v>166041</v>
      </c>
      <c r="S200" s="1">
        <v>5654379</v>
      </c>
      <c r="T200" s="1">
        <v>1267852</v>
      </c>
      <c r="U200" s="1">
        <v>624189</v>
      </c>
      <c r="V200" s="1">
        <v>43734</v>
      </c>
      <c r="W200" s="1">
        <v>6275908</v>
      </c>
      <c r="X200" s="1">
        <v>1298059</v>
      </c>
      <c r="Y200" s="1">
        <v>635018</v>
      </c>
      <c r="Z200" s="1">
        <v>36474</v>
      </c>
      <c r="AA200" s="1">
        <v>5953574</v>
      </c>
      <c r="AB200" s="1">
        <v>1225652</v>
      </c>
      <c r="AC200" s="1">
        <v>644112</v>
      </c>
      <c r="AD200" s="1">
        <v>36635</v>
      </c>
      <c r="AE200" s="1">
        <v>6314354</v>
      </c>
      <c r="AF200" s="1">
        <v>1400634</v>
      </c>
      <c r="AG200" s="1">
        <v>656324</v>
      </c>
      <c r="AH200" s="1">
        <v>51044</v>
      </c>
      <c r="AT200">
        <v>-2.76</v>
      </c>
      <c r="AU200">
        <v>5.53</v>
      </c>
      <c r="AV200">
        <v>78.05</v>
      </c>
    </row>
    <row r="201" spans="1:48" x14ac:dyDescent="0.2">
      <c r="A201" t="s">
        <v>307</v>
      </c>
      <c r="B201">
        <v>823013</v>
      </c>
      <c r="C201" s="1">
        <v>2016</v>
      </c>
      <c r="D201" s="1">
        <v>1243754</v>
      </c>
      <c r="E201" s="2" t="s">
        <v>197</v>
      </c>
      <c r="G201" s="1">
        <v>4203494</v>
      </c>
      <c r="H201" s="1">
        <v>1248073</v>
      </c>
      <c r="I201" s="1">
        <v>417874</v>
      </c>
      <c r="J201" s="1">
        <v>83648</v>
      </c>
      <c r="K201" s="1">
        <v>3808735</v>
      </c>
      <c r="L201" s="1">
        <v>1113536</v>
      </c>
      <c r="M201" s="1">
        <v>576932</v>
      </c>
      <c r="N201" s="1">
        <v>196947</v>
      </c>
      <c r="S201" s="1">
        <v>5317467</v>
      </c>
      <c r="T201" s="1">
        <v>1335817</v>
      </c>
      <c r="U201" s="1">
        <v>90298</v>
      </c>
      <c r="V201" s="1">
        <v>9455</v>
      </c>
      <c r="W201" s="1">
        <v>4605084</v>
      </c>
      <c r="X201" s="1">
        <v>1326362</v>
      </c>
      <c r="Y201" s="1">
        <v>133599</v>
      </c>
      <c r="Z201" s="1">
        <v>54735</v>
      </c>
      <c r="AA201" s="1">
        <v>4203494</v>
      </c>
      <c r="AB201" s="1">
        <v>1248073</v>
      </c>
      <c r="AC201" s="1">
        <v>104428</v>
      </c>
      <c r="AD201" s="1">
        <v>65589</v>
      </c>
      <c r="AE201" s="1">
        <v>3879613</v>
      </c>
      <c r="AF201" s="1">
        <v>1182642</v>
      </c>
      <c r="AG201" s="1">
        <v>114977</v>
      </c>
      <c r="AH201" s="1">
        <v>10985</v>
      </c>
      <c r="AT201">
        <v>-4.82</v>
      </c>
      <c r="AU201">
        <v>2.9</v>
      </c>
      <c r="AV201">
        <v>10.48</v>
      </c>
    </row>
    <row r="202" spans="1:48" x14ac:dyDescent="0.2">
      <c r="A202" t="s">
        <v>345</v>
      </c>
      <c r="B202">
        <v>1144773</v>
      </c>
      <c r="C202" s="1">
        <v>3113</v>
      </c>
      <c r="D202" s="1">
        <v>3922380</v>
      </c>
      <c r="E202" s="2" t="s">
        <v>346</v>
      </c>
      <c r="G202" s="1">
        <v>7284000</v>
      </c>
      <c r="H202" s="1">
        <v>1563000</v>
      </c>
      <c r="I202" s="1">
        <v>4643000</v>
      </c>
      <c r="J202" s="1">
        <v>300000</v>
      </c>
      <c r="K202" s="1">
        <v>5868690</v>
      </c>
      <c r="L202" s="1">
        <v>1442611</v>
      </c>
      <c r="M202" s="1">
        <v>3529234</v>
      </c>
      <c r="N202" s="1">
        <v>300198</v>
      </c>
      <c r="S202" s="1">
        <v>7292000</v>
      </c>
      <c r="T202" s="1">
        <v>1576000</v>
      </c>
      <c r="U202" s="1">
        <v>1179000</v>
      </c>
      <c r="V202" s="1">
        <v>61000</v>
      </c>
      <c r="W202" s="1">
        <v>7533000</v>
      </c>
      <c r="X202" s="1">
        <v>1553000</v>
      </c>
      <c r="Y202" s="1">
        <v>1404000</v>
      </c>
      <c r="Z202" s="1">
        <v>70000</v>
      </c>
      <c r="AA202" s="1">
        <v>7284000</v>
      </c>
      <c r="AB202" s="1">
        <v>1563000</v>
      </c>
      <c r="AC202" s="1">
        <v>1068248</v>
      </c>
      <c r="AD202" s="1">
        <v>73878</v>
      </c>
      <c r="AE202" s="1">
        <v>6711048</v>
      </c>
      <c r="AF202" s="1">
        <v>1510601</v>
      </c>
      <c r="AG202" s="1">
        <v>1210943</v>
      </c>
      <c r="AH202" s="1">
        <v>71240</v>
      </c>
      <c r="AT202">
        <v>0</v>
      </c>
      <c r="AU202">
        <v>0</v>
      </c>
      <c r="AV202">
        <v>0</v>
      </c>
    </row>
    <row r="203" spans="1:48" x14ac:dyDescent="0.2">
      <c r="A203" t="s">
        <v>378</v>
      </c>
      <c r="B203">
        <v>1226992</v>
      </c>
      <c r="C203" s="1">
        <v>589.1</v>
      </c>
      <c r="D203" s="1">
        <v>67892</v>
      </c>
      <c r="E203" s="2" t="s">
        <v>236</v>
      </c>
    </row>
  </sheetData>
  <autoFilter ref="A1:AV203" xr:uid="{8B194B86-1C17-45E0-9063-72CF618C42A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DD9-EFD1-4D7F-94C0-05994222C546}">
  <dimension ref="A2:M19"/>
  <sheetViews>
    <sheetView rightToLeft="1" tabSelected="1" workbookViewId="0">
      <selection activeCell="C23" sqref="C23"/>
    </sheetView>
  </sheetViews>
  <sheetFormatPr defaultRowHeight="14.25" x14ac:dyDescent="0.2"/>
  <cols>
    <col min="1" max="1" width="9" style="14"/>
  </cols>
  <sheetData>
    <row r="2" spans="1:13" ht="15" x14ac:dyDescent="0.25">
      <c r="B2" s="15" t="s">
        <v>680</v>
      </c>
    </row>
    <row r="4" spans="1:13" x14ac:dyDescent="0.2">
      <c r="A4" s="14">
        <v>1</v>
      </c>
      <c r="B4" t="s">
        <v>681</v>
      </c>
    </row>
    <row r="5" spans="1:13" x14ac:dyDescent="0.2">
      <c r="A5" s="14">
        <v>2</v>
      </c>
      <c r="B5" t="s">
        <v>682</v>
      </c>
    </row>
    <row r="6" spans="1:13" x14ac:dyDescent="0.2">
      <c r="A6" s="14">
        <v>3</v>
      </c>
      <c r="B6" t="s">
        <v>683</v>
      </c>
    </row>
    <row r="7" spans="1:13" x14ac:dyDescent="0.2">
      <c r="A7" s="14">
        <v>4</v>
      </c>
      <c r="B7" t="s">
        <v>684</v>
      </c>
    </row>
    <row r="8" spans="1:13" x14ac:dyDescent="0.2">
      <c r="A8" s="14">
        <v>5</v>
      </c>
      <c r="B8" t="s">
        <v>685</v>
      </c>
    </row>
    <row r="10" spans="1:13" ht="15" x14ac:dyDescent="0.25">
      <c r="B10" s="16" t="s">
        <v>686</v>
      </c>
    </row>
    <row r="12" spans="1:13" x14ac:dyDescent="0.2">
      <c r="A12" s="14">
        <f>A8+1</f>
        <v>6</v>
      </c>
      <c r="B12" t="s">
        <v>687</v>
      </c>
    </row>
    <row r="13" spans="1:13" x14ac:dyDescent="0.2">
      <c r="A13" s="14">
        <f>A12+1</f>
        <v>7</v>
      </c>
      <c r="B13" t="s">
        <v>688</v>
      </c>
      <c r="I13" s="10" t="s">
        <v>689</v>
      </c>
      <c r="J13" s="10"/>
      <c r="K13" s="10"/>
      <c r="L13" s="10"/>
      <c r="M13" s="10"/>
    </row>
    <row r="14" spans="1:13" x14ac:dyDescent="0.2">
      <c r="A14" s="14">
        <f t="shared" ref="A14:A16" si="0">A13+1</f>
        <v>8</v>
      </c>
      <c r="B14" t="s">
        <v>690</v>
      </c>
    </row>
    <row r="15" spans="1:13" x14ac:dyDescent="0.2">
      <c r="A15" s="14">
        <f t="shared" si="0"/>
        <v>9</v>
      </c>
      <c r="B15" t="s">
        <v>691</v>
      </c>
      <c r="I15" s="10" t="s">
        <v>692</v>
      </c>
      <c r="J15" s="10"/>
      <c r="K15" s="10"/>
      <c r="L15" s="10"/>
      <c r="M15" s="10"/>
    </row>
    <row r="16" spans="1:13" x14ac:dyDescent="0.2">
      <c r="A16" s="14">
        <f t="shared" si="0"/>
        <v>10</v>
      </c>
      <c r="B16" t="s">
        <v>693</v>
      </c>
      <c r="I16" s="10" t="s">
        <v>694</v>
      </c>
      <c r="J16" s="10"/>
      <c r="K16" s="10"/>
      <c r="L16" s="10"/>
      <c r="M16" s="10"/>
    </row>
    <row r="18" spans="1:2" x14ac:dyDescent="0.2">
      <c r="A18" s="14">
        <v>11</v>
      </c>
      <c r="B18" t="s">
        <v>695</v>
      </c>
    </row>
    <row r="19" spans="1:2" ht="15" x14ac:dyDescent="0.25">
      <c r="A19" s="14">
        <v>12</v>
      </c>
      <c r="B19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29.11.25</vt:lpstr>
      <vt:lpstr>29.11.25 (2)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וUSER</dc:creator>
  <cp:lastModifiedBy>וUSER</cp:lastModifiedBy>
  <dcterms:created xsi:type="dcterms:W3CDTF">2025-11-30T10:14:17Z</dcterms:created>
  <dcterms:modified xsi:type="dcterms:W3CDTF">2025-11-30T10:15:16Z</dcterms:modified>
</cp:coreProperties>
</file>